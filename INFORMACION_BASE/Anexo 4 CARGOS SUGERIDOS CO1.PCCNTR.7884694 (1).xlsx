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caldia\Desktop\DANIEL\A\FASE 4 DOCUMENTOS\"/>
    </mc:Choice>
  </mc:AlternateContent>
  <bookViews>
    <workbookView xWindow="0" yWindow="0" windowWidth="23040" windowHeight="8940" activeTab="2"/>
  </bookViews>
  <sheets>
    <sheet name="COSTO CARGO" sheetId="6" r:id="rId1"/>
    <sheet name="N° DE  CARGOS ACTOS AD" sheetId="4" r:id="rId2"/>
    <sheet name="N° DE  CARGOS SUGERIDOS x estud" sheetId="1" r:id="rId3"/>
    <sheet name="CARGOS INDER ISLAS" sheetId="2" r:id="rId4"/>
    <sheet name="SUPRIMIR" sheetId="5" r:id="rId5"/>
  </sheets>
  <definedNames>
    <definedName name="_xlnm._FilterDatabase" localSheetId="3" hidden="1">'CARGOS INDER ISLAS'!$B$1:$J$23</definedName>
    <definedName name="_xlnm._FilterDatabase" localSheetId="0" hidden="1">'COSTO CARGO'!$A$5:$N$56</definedName>
    <definedName name="_xlnm._FilterDatabase" localSheetId="1" hidden="1">'N° DE  CARGOS ACTOS AD'!$A$3:$BR$53</definedName>
    <definedName name="_xlnm._FilterDatabase" localSheetId="2" hidden="1">'N° DE  CARGOS SUGERIDOS x estud'!$A$3:$BR$54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2" l="1"/>
  <c r="AG55" i="1"/>
  <c r="AG5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4" i="1"/>
  <c r="AF5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D54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6" i="1"/>
  <c r="G54" i="1"/>
  <c r="O54" i="1"/>
  <c r="J54" i="1"/>
  <c r="AE53" i="4"/>
  <c r="AE54" i="1" l="1"/>
  <c r="H8" i="5"/>
  <c r="I8" i="5"/>
  <c r="I6" i="5"/>
  <c r="I5" i="5"/>
  <c r="H7" i="5"/>
  <c r="I7" i="5" s="1"/>
  <c r="H6" i="5"/>
  <c r="H5" i="5"/>
  <c r="H4" i="2"/>
  <c r="I4" i="2"/>
  <c r="H5" i="2"/>
  <c r="I5" i="2" s="1"/>
  <c r="H6" i="2"/>
  <c r="I6" i="2"/>
  <c r="H7" i="2"/>
  <c r="I7" i="2"/>
  <c r="H8" i="2"/>
  <c r="I8" i="2" s="1"/>
  <c r="H9" i="2"/>
  <c r="I9" i="2" s="1"/>
  <c r="H10" i="2"/>
  <c r="I10" i="2"/>
  <c r="H11" i="2"/>
  <c r="I11" i="2"/>
  <c r="H12" i="2"/>
  <c r="I12" i="2"/>
  <c r="H13" i="2"/>
  <c r="I13" i="2" s="1"/>
  <c r="H14" i="2"/>
  <c r="I14" i="2"/>
  <c r="H15" i="2"/>
  <c r="I15" i="2"/>
  <c r="H16" i="2"/>
  <c r="I16" i="2"/>
  <c r="H17" i="2"/>
  <c r="I17" i="2" s="1"/>
  <c r="H18" i="2"/>
  <c r="I18" i="2" s="1"/>
  <c r="H19" i="2"/>
  <c r="I19" i="2"/>
  <c r="H20" i="2"/>
  <c r="I20" i="2" s="1"/>
  <c r="H21" i="2"/>
  <c r="I21" i="2" s="1"/>
  <c r="H22" i="2"/>
  <c r="I22" i="2" s="1"/>
  <c r="H3" i="2"/>
  <c r="I3" i="2" s="1"/>
  <c r="G23" i="2"/>
  <c r="AD50" i="4"/>
  <c r="AF50" i="4" s="1"/>
  <c r="AG50" i="4" s="1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D52" i="4"/>
  <c r="AD51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B53" i="4" l="1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F52" i="4"/>
  <c r="AG52" i="4" s="1"/>
  <c r="AF51" i="4"/>
  <c r="AG51" i="4" s="1"/>
  <c r="AF49" i="4"/>
  <c r="AG49" i="4" s="1"/>
  <c r="AF48" i="4"/>
  <c r="AG48" i="4" s="1"/>
  <c r="AF47" i="4"/>
  <c r="AG47" i="4" s="1"/>
  <c r="AF46" i="4"/>
  <c r="AG46" i="4" s="1"/>
  <c r="AF45" i="4"/>
  <c r="AG45" i="4" s="1"/>
  <c r="AF44" i="4"/>
  <c r="AG44" i="4" s="1"/>
  <c r="AF43" i="4"/>
  <c r="AG43" i="4" s="1"/>
  <c r="AF42" i="4"/>
  <c r="AG42" i="4" s="1"/>
  <c r="AF41" i="4"/>
  <c r="AG41" i="4" s="1"/>
  <c r="AF40" i="4"/>
  <c r="AG40" i="4" s="1"/>
  <c r="AF39" i="4"/>
  <c r="AG39" i="4" s="1"/>
  <c r="AF38" i="4"/>
  <c r="AG38" i="4" s="1"/>
  <c r="AF37" i="4"/>
  <c r="AG37" i="4" s="1"/>
  <c r="AF36" i="4"/>
  <c r="AG36" i="4" s="1"/>
  <c r="AF35" i="4"/>
  <c r="AG35" i="4" s="1"/>
  <c r="AF34" i="4"/>
  <c r="AG34" i="4" s="1"/>
  <c r="AF33" i="4"/>
  <c r="AG33" i="4" s="1"/>
  <c r="AF32" i="4"/>
  <c r="AG32" i="4" s="1"/>
  <c r="AF31" i="4"/>
  <c r="AG31" i="4" s="1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3" i="4"/>
  <c r="AG23" i="4" s="1"/>
  <c r="AF22" i="4"/>
  <c r="AG22" i="4" s="1"/>
  <c r="AF21" i="4"/>
  <c r="AG21" i="4" s="1"/>
  <c r="AF20" i="4"/>
  <c r="AG20" i="4" s="1"/>
  <c r="AF19" i="4"/>
  <c r="AG19" i="4" s="1"/>
  <c r="AF18" i="4"/>
  <c r="AG18" i="4" s="1"/>
  <c r="AF17" i="4"/>
  <c r="AG17" i="4" s="1"/>
  <c r="AC53" i="4"/>
  <c r="AF16" i="4"/>
  <c r="AG16" i="4" s="1"/>
  <c r="AF15" i="4"/>
  <c r="AG15" i="4" s="1"/>
  <c r="AF14" i="4"/>
  <c r="AG14" i="4" s="1"/>
  <c r="AF13" i="4"/>
  <c r="AG13" i="4" s="1"/>
  <c r="AF12" i="4"/>
  <c r="AG12" i="4" s="1"/>
  <c r="AF11" i="4"/>
  <c r="AG11" i="4" s="1"/>
  <c r="AF10" i="4"/>
  <c r="AG10" i="4" s="1"/>
  <c r="AF9" i="4"/>
  <c r="AG9" i="4" s="1"/>
  <c r="AF8" i="4"/>
  <c r="AG8" i="4" s="1"/>
  <c r="AF7" i="4"/>
  <c r="AG7" i="4" s="1"/>
  <c r="AF6" i="4"/>
  <c r="AG6" i="4" s="1"/>
  <c r="AF5" i="4"/>
  <c r="AG5" i="4" s="1"/>
  <c r="AF4" i="4"/>
  <c r="AD53" i="4" l="1"/>
  <c r="AG4" i="4"/>
  <c r="AF53" i="4"/>
  <c r="AG53" i="4" s="1"/>
  <c r="I54" i="1"/>
  <c r="S54" i="1" l="1"/>
  <c r="P54" i="1"/>
  <c r="Z16" i="1" l="1"/>
  <c r="M54" i="1" l="1"/>
  <c r="N54" i="1"/>
  <c r="AD4" i="1" l="1"/>
  <c r="AF4" i="1" s="1"/>
  <c r="E54" i="1" l="1"/>
  <c r="AD5" i="1"/>
  <c r="AC16" i="1"/>
  <c r="U54" i="1" l="1"/>
  <c r="R54" i="1" l="1"/>
  <c r="Q54" i="1"/>
  <c r="K54" i="1"/>
  <c r="L54" i="1"/>
  <c r="AC54" i="1"/>
  <c r="AB54" i="1"/>
  <c r="AA54" i="1"/>
  <c r="Z54" i="1"/>
  <c r="Y54" i="1"/>
  <c r="X54" i="1"/>
  <c r="W54" i="1"/>
  <c r="V54" i="1"/>
  <c r="T54" i="1"/>
  <c r="H54" i="1" l="1"/>
  <c r="F54" i="1"/>
  <c r="H2" i="2"/>
  <c r="H23" i="2" s="1"/>
  <c r="I2" i="2"/>
  <c r="I23" i="2"/>
</calcChain>
</file>

<file path=xl/sharedStrings.xml><?xml version="1.0" encoding="utf-8"?>
<sst xmlns="http://schemas.openxmlformats.org/spreadsheetml/2006/main" count="298" uniqueCount="93">
  <si>
    <t>PROFESIONAL</t>
  </si>
  <si>
    <t>PROFESIONAL ESPECIALIZADO</t>
  </si>
  <si>
    <t>PROFESIONAL UNIVERSITARIO</t>
  </si>
  <si>
    <t xml:space="preserve">TÉCNICO </t>
  </si>
  <si>
    <t>TÉCNICO OPERATIVO</t>
  </si>
  <si>
    <t>ASISTENCIAL</t>
  </si>
  <si>
    <t>SECRETARIO EJECUTIVO</t>
  </si>
  <si>
    <t>AUX. SERVICIOS ADMINISTRATIVOS</t>
  </si>
  <si>
    <t>AYUDANTE</t>
  </si>
  <si>
    <t>NIVEL JERÁRQUICO</t>
  </si>
  <si>
    <t>DENOMINACIÓN</t>
  </si>
  <si>
    <t>CÓDIGO</t>
  </si>
  <si>
    <t xml:space="preserve">GRADO </t>
  </si>
  <si>
    <t>Oficina de Control Interno de Gestión</t>
  </si>
  <si>
    <t>TOTAL</t>
  </si>
  <si>
    <t>Oficina de Control Interno Disciplinario</t>
  </si>
  <si>
    <t xml:space="preserve">Oficina de Prensa y Comunicaciones </t>
  </si>
  <si>
    <t>OCCRE</t>
  </si>
  <si>
    <t>Secretaría Privada</t>
  </si>
  <si>
    <t>Secretaría de Planeación</t>
  </si>
  <si>
    <t xml:space="preserve">Secretaría de Hacienda   </t>
  </si>
  <si>
    <t>DIRECTOR</t>
  </si>
  <si>
    <t>ASESOR</t>
  </si>
  <si>
    <t xml:space="preserve">Secretaria de Salud   </t>
  </si>
  <si>
    <t xml:space="preserve">Secretaria de Educación  </t>
  </si>
  <si>
    <t>Secretaria de Agricultura y Pesca</t>
  </si>
  <si>
    <t xml:space="preserve">Secretaría General  </t>
  </si>
  <si>
    <t>Secretaria de Gobierno</t>
  </si>
  <si>
    <t xml:space="preserve">Secretaria de Desarrollo Social  </t>
  </si>
  <si>
    <t xml:space="preserve">Secretaria de Movilidad  </t>
  </si>
  <si>
    <t xml:space="preserve">Secretaría de Turismo </t>
  </si>
  <si>
    <t>Oficina Asesora Jurídica</t>
  </si>
  <si>
    <t>TÉCNICO INSPECTOR DE TRANSITO</t>
  </si>
  <si>
    <t>TÉCNICO AGENTE DE TRANSITO</t>
  </si>
  <si>
    <t>TÉCNICO OPERATIVO SUPERVISOR DE RESCATE ACUATICO</t>
  </si>
  <si>
    <t>Secretaria de Infraestructura</t>
  </si>
  <si>
    <t xml:space="preserve">Servicios Públicos y Medio Ambiente  </t>
  </si>
  <si>
    <t>AUXILIAR DE SERVICIOS GENERALES</t>
  </si>
  <si>
    <t>Secretaria de Cultura</t>
  </si>
  <si>
    <t>Secretaria de Tics</t>
  </si>
  <si>
    <t>Seguridad y Convivencia Ciudadana</t>
  </si>
  <si>
    <t>S. Gestión del Riesgo de Desastres</t>
  </si>
  <si>
    <t>S. Mujer y Equidad de Género</t>
  </si>
  <si>
    <t>Secretaría de la Juventud</t>
  </si>
  <si>
    <t>INSPECTOR DE CONVIVENCIA Y PAZ</t>
  </si>
  <si>
    <t>COMISIARIO DE FAMILIA</t>
  </si>
  <si>
    <t>SUBCOMANDANTE DE BOMBERO</t>
  </si>
  <si>
    <t>SARGENTO DE BOMBEROS</t>
  </si>
  <si>
    <t>SUBTENIENTE DE BOMBEROS</t>
  </si>
  <si>
    <t>CAPITAN DE BOMBEROS</t>
  </si>
  <si>
    <t>TENIENTE DE BOMBEROS</t>
  </si>
  <si>
    <t>CONDUCTOR</t>
  </si>
  <si>
    <t>GUARDIAN-SALVAVIDAS</t>
  </si>
  <si>
    <t>DIRECTOR GENERAL</t>
  </si>
  <si>
    <t>SUBDIRECTOR</t>
  </si>
  <si>
    <t>Oficina de Contratación</t>
  </si>
  <si>
    <t>JEFE DE OFICINA</t>
  </si>
  <si>
    <t>SUBCOMANDANTE DE TRANSITO</t>
  </si>
  <si>
    <t>Nivel</t>
  </si>
  <si>
    <t>Denominación</t>
  </si>
  <si>
    <t>N° cargos</t>
  </si>
  <si>
    <t>Código</t>
  </si>
  <si>
    <t>Grado</t>
  </si>
  <si>
    <t>Directivo</t>
  </si>
  <si>
    <t>Director General</t>
  </si>
  <si>
    <t>Subdirector Administrativo y Financiero</t>
  </si>
  <si>
    <t>Subdirector Técnico</t>
  </si>
  <si>
    <t>Subdirector Operativo</t>
  </si>
  <si>
    <t>Asesor</t>
  </si>
  <si>
    <t>Jefe Oficina Jurídica y de Contratación</t>
  </si>
  <si>
    <t>Jefe Oficina Control Interno</t>
  </si>
  <si>
    <t>Jefe Oficina de Comunicaciones y Participación Comunitaria</t>
  </si>
  <si>
    <t>Profesional</t>
  </si>
  <si>
    <t>Profesional Especializado</t>
  </si>
  <si>
    <t>Profesional Universitario</t>
  </si>
  <si>
    <t>Técnico</t>
  </si>
  <si>
    <t>Técnico Operativo</t>
  </si>
  <si>
    <t>Asistencial</t>
  </si>
  <si>
    <t>Secretario Ejecutivo</t>
  </si>
  <si>
    <t>TOTAL IDRD SAI</t>
  </si>
  <si>
    <t>Guardian</t>
  </si>
  <si>
    <t>COSTO MENSUAL</t>
  </si>
  <si>
    <t>PROFESIONAL SUBCOMANDANTE DE TRANSITO</t>
  </si>
  <si>
    <t>GUARDÍAN</t>
  </si>
  <si>
    <t>CABO DE BOMBEROS</t>
  </si>
  <si>
    <t>COSTO UNITARIO</t>
  </si>
  <si>
    <t>COSTO TOTAL MENSUAL</t>
  </si>
  <si>
    <t>COSTO TOTAL ANUAL</t>
  </si>
  <si>
    <t>Total</t>
  </si>
  <si>
    <t>Bomberos</t>
  </si>
  <si>
    <t>Cabo de Bomberos</t>
  </si>
  <si>
    <t>12</t>
  </si>
  <si>
    <t>TÉCNICO OPERATIVO y (SUPERVISOR DE RESCATE ACUATICO)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</si>
</sst>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thick">
        <color rgb="FF9CC2E5"/>
      </bottom>
      <diagonal/>
    </border>
    <border>
      <left/>
      <right style="medium">
        <color rgb="FF9CC2E5"/>
      </right>
      <top style="medium">
        <color rgb="FF9CC2E5"/>
      </top>
      <bottom style="thick">
        <color rgb="FF9CC2E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4" fontId="14" fillId="0" borderId="1" xfId="1" applyNumberFormat="1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18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164" fontId="3" fillId="14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43" fontId="3" fillId="11" borderId="1" xfId="1" applyFont="1" applyFill="1" applyBorder="1" applyAlignment="1">
      <alignment horizontal="center" vertical="center"/>
    </xf>
    <xf numFmtId="43" fontId="0" fillId="0" borderId="0" xfId="1" applyFont="1"/>
    <xf numFmtId="0" fontId="12" fillId="0" borderId="6" xfId="0" applyFont="1" applyBorder="1" applyAlignment="1">
      <alignment horizontal="center" vertical="center" wrapText="1"/>
    </xf>
    <xf numFmtId="43" fontId="11" fillId="13" borderId="8" xfId="1" applyFont="1" applyFill="1" applyBorder="1" applyAlignment="1">
      <alignment horizontal="center" vertical="center" wrapText="1"/>
    </xf>
    <xf numFmtId="43" fontId="11" fillId="0" borderId="8" xfId="1" applyFont="1" applyBorder="1" applyAlignment="1">
      <alignment horizontal="center" vertical="center" wrapText="1"/>
    </xf>
    <xf numFmtId="43" fontId="12" fillId="13" borderId="8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3" fontId="12" fillId="0" borderId="6" xfId="1" applyFont="1" applyBorder="1" applyAlignment="1">
      <alignment horizontal="center" vertical="center" wrapText="1"/>
    </xf>
    <xf numFmtId="43" fontId="11" fillId="0" borderId="9" xfId="1" applyFont="1" applyBorder="1" applyAlignment="1">
      <alignment horizontal="center" vertical="center" wrapText="1"/>
    </xf>
    <xf numFmtId="43" fontId="12" fillId="0" borderId="8" xfId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56"/>
  <sheetViews>
    <sheetView workbookViewId="0">
      <selection activeCell="B1" sqref="B1:E1048576"/>
    </sheetView>
  </sheetViews>
  <sheetFormatPr baseColWidth="10" defaultRowHeight="14.4" x14ac:dyDescent="0.3"/>
  <cols>
    <col min="1" max="1" width="15.33203125" customWidth="1"/>
    <col min="4" max="4" width="14" style="72" bestFit="1" customWidth="1"/>
  </cols>
  <sheetData>
    <row r="5" spans="1:4" x14ac:dyDescent="0.3">
      <c r="A5" s="62" t="s">
        <v>10</v>
      </c>
      <c r="B5" s="62" t="s">
        <v>11</v>
      </c>
      <c r="C5" s="62" t="s">
        <v>12</v>
      </c>
      <c r="D5" s="63" t="s">
        <v>81</v>
      </c>
    </row>
    <row r="6" spans="1:4" x14ac:dyDescent="0.3">
      <c r="A6" s="64" t="s">
        <v>53</v>
      </c>
      <c r="B6" s="65">
        <v>9</v>
      </c>
      <c r="C6" s="66">
        <v>22</v>
      </c>
      <c r="D6" s="67">
        <v>21093334.691199999</v>
      </c>
    </row>
    <row r="7" spans="1:4" x14ac:dyDescent="0.3">
      <c r="A7" s="64" t="s">
        <v>54</v>
      </c>
      <c r="B7" s="65">
        <v>9</v>
      </c>
      <c r="C7" s="65">
        <v>20</v>
      </c>
      <c r="D7" s="67">
        <v>21093334.691199999</v>
      </c>
    </row>
    <row r="8" spans="1:4" x14ac:dyDescent="0.3">
      <c r="A8" s="64" t="s">
        <v>56</v>
      </c>
      <c r="B8" s="65">
        <v>115</v>
      </c>
      <c r="C8" s="65">
        <v>14</v>
      </c>
      <c r="D8" s="67">
        <v>20948482.655199997</v>
      </c>
    </row>
    <row r="9" spans="1:4" ht="20.399999999999999" x14ac:dyDescent="0.3">
      <c r="A9" s="16" t="s">
        <v>44</v>
      </c>
      <c r="B9" s="17">
        <v>234</v>
      </c>
      <c r="C9" s="17">
        <v>18</v>
      </c>
      <c r="D9" s="68">
        <v>13013014.067466667</v>
      </c>
    </row>
    <row r="10" spans="1:4" ht="20.399999999999999" x14ac:dyDescent="0.3">
      <c r="A10" s="16" t="s">
        <v>1</v>
      </c>
      <c r="B10" s="17">
        <v>222</v>
      </c>
      <c r="C10" s="17">
        <v>18</v>
      </c>
      <c r="D10" s="68">
        <v>13013014.067466667</v>
      </c>
    </row>
    <row r="11" spans="1:4" ht="20.399999999999999" x14ac:dyDescent="0.3">
      <c r="A11" s="16" t="s">
        <v>1</v>
      </c>
      <c r="B11" s="17">
        <v>222</v>
      </c>
      <c r="C11" s="17">
        <v>17</v>
      </c>
      <c r="D11" s="68">
        <v>12083212.6448</v>
      </c>
    </row>
    <row r="12" spans="1:4" ht="20.399999999999999" x14ac:dyDescent="0.3">
      <c r="A12" s="16" t="s">
        <v>1</v>
      </c>
      <c r="B12" s="17">
        <v>222</v>
      </c>
      <c r="C12" s="17">
        <v>16</v>
      </c>
      <c r="D12" s="68">
        <v>11487888.574933333</v>
      </c>
    </row>
    <row r="13" spans="1:4" ht="20.399999999999999" x14ac:dyDescent="0.3">
      <c r="A13" s="16" t="s">
        <v>1</v>
      </c>
      <c r="B13" s="17">
        <v>222</v>
      </c>
      <c r="C13" s="17">
        <v>15</v>
      </c>
      <c r="D13" s="68">
        <v>10655272.380533332</v>
      </c>
    </row>
    <row r="14" spans="1:4" ht="20.399999999999999" x14ac:dyDescent="0.3">
      <c r="A14" s="16" t="s">
        <v>1</v>
      </c>
      <c r="B14" s="17">
        <v>222</v>
      </c>
      <c r="C14" s="17">
        <v>14</v>
      </c>
      <c r="D14" s="68">
        <v>9637504.0725333337</v>
      </c>
    </row>
    <row r="15" spans="1:4" ht="20.399999999999999" x14ac:dyDescent="0.3">
      <c r="A15" s="18" t="s">
        <v>2</v>
      </c>
      <c r="B15" s="19">
        <v>219</v>
      </c>
      <c r="C15" s="19">
        <v>14</v>
      </c>
      <c r="D15" s="69">
        <v>9637504.0725333337</v>
      </c>
    </row>
    <row r="16" spans="1:4" ht="20.399999999999999" x14ac:dyDescent="0.3">
      <c r="A16" s="18" t="s">
        <v>2</v>
      </c>
      <c r="B16" s="19">
        <v>219</v>
      </c>
      <c r="C16" s="19">
        <v>13</v>
      </c>
      <c r="D16" s="69">
        <v>9005835.2266666666</v>
      </c>
    </row>
    <row r="17" spans="1:4" ht="20.399999999999999" x14ac:dyDescent="0.3">
      <c r="A17" s="18" t="s">
        <v>2</v>
      </c>
      <c r="B17" s="19">
        <v>219</v>
      </c>
      <c r="C17" s="19">
        <v>12</v>
      </c>
      <c r="D17" s="69">
        <v>8312132.7687999997</v>
      </c>
    </row>
    <row r="18" spans="1:4" ht="20.399999999999999" x14ac:dyDescent="0.3">
      <c r="A18" s="18" t="s">
        <v>2</v>
      </c>
      <c r="B18" s="19">
        <v>219</v>
      </c>
      <c r="C18" s="19">
        <v>11</v>
      </c>
      <c r="D18" s="69">
        <v>7834632.0767999999</v>
      </c>
    </row>
    <row r="19" spans="1:4" ht="30.6" x14ac:dyDescent="0.3">
      <c r="A19" s="18" t="s">
        <v>82</v>
      </c>
      <c r="B19" s="19">
        <v>338</v>
      </c>
      <c r="C19" s="19">
        <v>16</v>
      </c>
      <c r="D19" s="69">
        <v>5986763.7512000008</v>
      </c>
    </row>
    <row r="20" spans="1:4" ht="20.399999999999999" x14ac:dyDescent="0.3">
      <c r="A20" s="18" t="s">
        <v>45</v>
      </c>
      <c r="B20" s="19">
        <v>202</v>
      </c>
      <c r="C20" s="19">
        <v>15</v>
      </c>
      <c r="D20" s="69">
        <v>10655272.380533332</v>
      </c>
    </row>
    <row r="21" spans="1:4" ht="20.399999999999999" x14ac:dyDescent="0.3">
      <c r="A21" s="20" t="s">
        <v>4</v>
      </c>
      <c r="B21" s="21">
        <v>314</v>
      </c>
      <c r="C21" s="21">
        <v>18</v>
      </c>
      <c r="D21" s="70">
        <v>6391023.3794666668</v>
      </c>
    </row>
    <row r="22" spans="1:4" ht="20.399999999999999" x14ac:dyDescent="0.3">
      <c r="A22" s="20" t="s">
        <v>4</v>
      </c>
      <c r="B22" s="21">
        <v>314</v>
      </c>
      <c r="C22" s="21">
        <v>16</v>
      </c>
      <c r="D22" s="70">
        <v>6201657.7773333341</v>
      </c>
    </row>
    <row r="23" spans="1:4" ht="20.399999999999999" x14ac:dyDescent="0.3">
      <c r="A23" s="20" t="s">
        <v>4</v>
      </c>
      <c r="B23" s="21">
        <v>314</v>
      </c>
      <c r="C23" s="21">
        <v>14</v>
      </c>
      <c r="D23" s="70">
        <v>5251869.0194666665</v>
      </c>
    </row>
    <row r="24" spans="1:4" ht="20.399999999999999" x14ac:dyDescent="0.3">
      <c r="A24" s="20" t="s">
        <v>4</v>
      </c>
      <c r="B24" s="21">
        <v>314</v>
      </c>
      <c r="C24" s="21">
        <v>13</v>
      </c>
      <c r="D24" s="70">
        <v>5066807.0421333332</v>
      </c>
    </row>
    <row r="25" spans="1:4" ht="30.6" x14ac:dyDescent="0.3">
      <c r="A25" s="20" t="s">
        <v>32</v>
      </c>
      <c r="B25" s="21">
        <v>312</v>
      </c>
      <c r="C25" s="21">
        <v>15</v>
      </c>
      <c r="D25" s="70">
        <v>5488857.1250666669</v>
      </c>
    </row>
    <row r="26" spans="1:4" ht="20.399999999999999" x14ac:dyDescent="0.3">
      <c r="A26" s="20" t="s">
        <v>46</v>
      </c>
      <c r="B26" s="21">
        <v>336</v>
      </c>
      <c r="C26" s="21">
        <v>15</v>
      </c>
      <c r="D26" s="70">
        <v>5488857.1250666669</v>
      </c>
    </row>
    <row r="27" spans="1:4" ht="20.399999999999999" x14ac:dyDescent="0.3">
      <c r="A27" s="20" t="s">
        <v>33</v>
      </c>
      <c r="B27" s="21">
        <v>340</v>
      </c>
      <c r="C27" s="21">
        <v>13</v>
      </c>
      <c r="D27" s="70">
        <v>5066807.0421333332</v>
      </c>
    </row>
    <row r="28" spans="1:4" ht="40.799999999999997" x14ac:dyDescent="0.3">
      <c r="A28" s="20" t="s">
        <v>34</v>
      </c>
      <c r="B28" s="21">
        <v>314</v>
      </c>
      <c r="C28" s="21">
        <v>15</v>
      </c>
      <c r="D28" s="70">
        <v>5488857.1250666669</v>
      </c>
    </row>
    <row r="29" spans="1:4" ht="20.399999999999999" x14ac:dyDescent="0.3">
      <c r="A29" s="20" t="s">
        <v>4</v>
      </c>
      <c r="B29" s="21">
        <v>314</v>
      </c>
      <c r="C29" s="21">
        <v>15</v>
      </c>
      <c r="D29" s="70">
        <v>5488857.1250666669</v>
      </c>
    </row>
    <row r="30" spans="1:4" ht="20.399999999999999" x14ac:dyDescent="0.3">
      <c r="A30" s="23" t="s">
        <v>6</v>
      </c>
      <c r="B30" s="24">
        <v>425</v>
      </c>
      <c r="C30" s="24">
        <v>26</v>
      </c>
      <c r="D30" s="71">
        <v>6770542.8941333331</v>
      </c>
    </row>
    <row r="31" spans="1:4" ht="20.399999999999999" x14ac:dyDescent="0.3">
      <c r="A31" s="23" t="s">
        <v>6</v>
      </c>
      <c r="B31" s="24">
        <v>425</v>
      </c>
      <c r="C31" s="24">
        <v>23</v>
      </c>
      <c r="D31" s="71">
        <v>5488857.1250666669</v>
      </c>
    </row>
    <row r="32" spans="1:4" ht="20.399999999999999" x14ac:dyDescent="0.3">
      <c r="A32" s="23" t="s">
        <v>7</v>
      </c>
      <c r="B32" s="24">
        <v>407</v>
      </c>
      <c r="C32" s="24">
        <v>26</v>
      </c>
      <c r="D32" s="71">
        <v>6770542.8941333331</v>
      </c>
    </row>
    <row r="33" spans="1:4" ht="20.399999999999999" x14ac:dyDescent="0.3">
      <c r="A33" s="23" t="s">
        <v>7</v>
      </c>
      <c r="B33" s="24">
        <v>407</v>
      </c>
      <c r="C33" s="24">
        <v>25</v>
      </c>
      <c r="D33" s="71">
        <v>6639869.7512000008</v>
      </c>
    </row>
    <row r="34" spans="1:4" ht="20.399999999999999" x14ac:dyDescent="0.3">
      <c r="A34" s="23" t="s">
        <v>7</v>
      </c>
      <c r="B34" s="24">
        <v>407</v>
      </c>
      <c r="C34" s="24">
        <v>23</v>
      </c>
      <c r="D34" s="71">
        <v>5488857.1250666669</v>
      </c>
    </row>
    <row r="35" spans="1:4" ht="20.399999999999999" x14ac:dyDescent="0.3">
      <c r="A35" s="23" t="s">
        <v>7</v>
      </c>
      <c r="B35" s="24">
        <v>407</v>
      </c>
      <c r="C35" s="24">
        <v>22</v>
      </c>
      <c r="D35" s="71">
        <v>4684364.9736000001</v>
      </c>
    </row>
    <row r="36" spans="1:4" ht="20.399999999999999" x14ac:dyDescent="0.3">
      <c r="A36" s="23" t="s">
        <v>7</v>
      </c>
      <c r="B36" s="24">
        <v>407</v>
      </c>
      <c r="C36" s="24">
        <v>21</v>
      </c>
      <c r="D36" s="71">
        <v>4684364.9736000001</v>
      </c>
    </row>
    <row r="37" spans="1:4" ht="20.399999999999999" x14ac:dyDescent="0.3">
      <c r="A37" s="23" t="s">
        <v>7</v>
      </c>
      <c r="B37" s="24">
        <v>407</v>
      </c>
      <c r="C37" s="24">
        <v>20</v>
      </c>
      <c r="D37" s="71">
        <v>4359724.695733333</v>
      </c>
    </row>
    <row r="38" spans="1:4" ht="20.399999999999999" x14ac:dyDescent="0.3">
      <c r="A38" s="23" t="s">
        <v>7</v>
      </c>
      <c r="B38" s="24">
        <v>407</v>
      </c>
      <c r="C38" s="24">
        <v>19</v>
      </c>
      <c r="D38" s="71">
        <v>4359724.695733333</v>
      </c>
    </row>
    <row r="39" spans="1:4" ht="20.399999999999999" x14ac:dyDescent="0.3">
      <c r="A39" s="23" t="s">
        <v>7</v>
      </c>
      <c r="B39" s="24">
        <v>407</v>
      </c>
      <c r="C39" s="24">
        <v>18</v>
      </c>
      <c r="D39" s="71">
        <v>4382551.8501333334</v>
      </c>
    </row>
    <row r="40" spans="1:4" ht="20.399999999999999" x14ac:dyDescent="0.3">
      <c r="A40" s="23" t="s">
        <v>7</v>
      </c>
      <c r="B40" s="24">
        <v>407</v>
      </c>
      <c r="C40" s="24">
        <v>17</v>
      </c>
      <c r="D40" s="71">
        <v>4382551.8501333334</v>
      </c>
    </row>
    <row r="41" spans="1:4" ht="20.399999999999999" x14ac:dyDescent="0.3">
      <c r="A41" s="23" t="s">
        <v>7</v>
      </c>
      <c r="B41" s="24">
        <v>407</v>
      </c>
      <c r="C41" s="24">
        <v>16</v>
      </c>
      <c r="D41" s="71">
        <v>4296780.3176000006</v>
      </c>
    </row>
    <row r="42" spans="1:4" ht="20.399999999999999" x14ac:dyDescent="0.3">
      <c r="A42" s="23" t="s">
        <v>7</v>
      </c>
      <c r="B42" s="24">
        <v>407</v>
      </c>
      <c r="C42" s="24">
        <v>12</v>
      </c>
      <c r="D42" s="71">
        <v>3810256.8325333335</v>
      </c>
    </row>
    <row r="43" spans="1:4" ht="20.399999999999999" x14ac:dyDescent="0.3">
      <c r="A43" s="23" t="s">
        <v>49</v>
      </c>
      <c r="B43" s="24">
        <v>411</v>
      </c>
      <c r="C43" s="24">
        <v>25</v>
      </c>
      <c r="D43" s="71">
        <v>6639869.7512000008</v>
      </c>
    </row>
    <row r="44" spans="1:4" ht="20.399999999999999" x14ac:dyDescent="0.3">
      <c r="A44" s="23" t="s">
        <v>47</v>
      </c>
      <c r="B44" s="24">
        <v>417</v>
      </c>
      <c r="C44" s="24">
        <v>19</v>
      </c>
      <c r="D44" s="71">
        <v>4359724.695733333</v>
      </c>
    </row>
    <row r="45" spans="1:4" ht="20.399999999999999" x14ac:dyDescent="0.3">
      <c r="A45" s="23" t="s">
        <v>48</v>
      </c>
      <c r="B45" s="24">
        <v>418</v>
      </c>
      <c r="C45" s="24">
        <v>21</v>
      </c>
      <c r="D45" s="71">
        <v>4684364.9736000001</v>
      </c>
    </row>
    <row r="46" spans="1:4" ht="20.399999999999999" x14ac:dyDescent="0.3">
      <c r="A46" s="23" t="s">
        <v>50</v>
      </c>
      <c r="B46" s="24">
        <v>418</v>
      </c>
      <c r="C46" s="24">
        <v>23</v>
      </c>
      <c r="D46" s="71">
        <v>5488857.1250666669</v>
      </c>
    </row>
    <row r="47" spans="1:4" x14ac:dyDescent="0.3">
      <c r="A47" s="23" t="s">
        <v>83</v>
      </c>
      <c r="B47" s="24">
        <v>485</v>
      </c>
      <c r="C47" s="24">
        <v>12</v>
      </c>
      <c r="D47" s="71">
        <v>3810256.8325333335</v>
      </c>
    </row>
    <row r="48" spans="1:4" x14ac:dyDescent="0.3">
      <c r="A48" s="23" t="s">
        <v>8</v>
      </c>
      <c r="B48" s="24">
        <v>472</v>
      </c>
      <c r="C48" s="24">
        <v>17</v>
      </c>
      <c r="D48" s="71">
        <v>4382551.8501333334</v>
      </c>
    </row>
    <row r="49" spans="1:4" x14ac:dyDescent="0.3">
      <c r="A49" s="23" t="s">
        <v>8</v>
      </c>
      <c r="B49" s="24">
        <v>472</v>
      </c>
      <c r="C49" s="24">
        <v>12</v>
      </c>
      <c r="D49" s="71">
        <v>3810256.8325333335</v>
      </c>
    </row>
    <row r="50" spans="1:4" ht="30.6" x14ac:dyDescent="0.3">
      <c r="A50" s="23" t="s">
        <v>37</v>
      </c>
      <c r="B50" s="24">
        <v>470</v>
      </c>
      <c r="C50" s="24">
        <v>10</v>
      </c>
      <c r="D50" s="71">
        <v>3319889.5704000001</v>
      </c>
    </row>
    <row r="51" spans="1:4" x14ac:dyDescent="0.3">
      <c r="A51" s="23" t="s">
        <v>51</v>
      </c>
      <c r="B51" s="24">
        <v>480</v>
      </c>
      <c r="C51" s="24">
        <v>12</v>
      </c>
      <c r="D51" s="71">
        <v>3810256.8325333335</v>
      </c>
    </row>
    <row r="52" spans="1:4" x14ac:dyDescent="0.3">
      <c r="A52" s="23" t="s">
        <v>51</v>
      </c>
      <c r="B52" s="24">
        <v>480</v>
      </c>
      <c r="C52" s="24">
        <v>16</v>
      </c>
      <c r="D52" s="71">
        <v>4296780.3176000006</v>
      </c>
    </row>
    <row r="53" spans="1:4" ht="20.399999999999999" x14ac:dyDescent="0.3">
      <c r="A53" s="23" t="s">
        <v>52</v>
      </c>
      <c r="B53" s="24">
        <v>485</v>
      </c>
      <c r="C53" s="24">
        <v>16</v>
      </c>
      <c r="D53" s="71">
        <v>4296780.3176000006</v>
      </c>
    </row>
    <row r="54" spans="1:4" ht="20.399999999999999" x14ac:dyDescent="0.3">
      <c r="A54" s="23" t="s">
        <v>6</v>
      </c>
      <c r="B54" s="24">
        <v>485</v>
      </c>
      <c r="C54" s="24">
        <v>23</v>
      </c>
      <c r="D54" s="71">
        <v>5488857.1250666669</v>
      </c>
    </row>
    <row r="55" spans="1:4" ht="20.399999999999999" x14ac:dyDescent="0.3">
      <c r="A55" s="23" t="s">
        <v>6</v>
      </c>
      <c r="B55" s="24">
        <v>485</v>
      </c>
      <c r="C55" s="24">
        <v>26</v>
      </c>
      <c r="D55" s="71">
        <v>6770542.8941333331</v>
      </c>
    </row>
    <row r="56" spans="1:4" ht="20.399999999999999" x14ac:dyDescent="0.3">
      <c r="A56" s="23" t="s">
        <v>84</v>
      </c>
      <c r="B56" s="24">
        <v>413</v>
      </c>
      <c r="C56" s="24">
        <v>17</v>
      </c>
      <c r="D56" s="71">
        <v>4382551.8501333334</v>
      </c>
    </row>
  </sheetData>
  <autoFilter ref="A5:N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R1048529"/>
  <sheetViews>
    <sheetView zoomScaleNormal="100" workbookViewId="0">
      <pane xSplit="9" ySplit="10" topLeftCell="J11" activePane="bottomRight" state="frozen"/>
      <selection pane="topRight" activeCell="J1" sqref="J1"/>
      <selection pane="bottomLeft" activeCell="A12" sqref="A12"/>
      <selection pane="bottomRight" activeCell="D1" sqref="D1:AD1048576"/>
    </sheetView>
  </sheetViews>
  <sheetFormatPr baseColWidth="10" defaultRowHeight="14.4" x14ac:dyDescent="0.3"/>
  <cols>
    <col min="1" max="1" width="15" style="9" customWidth="1"/>
    <col min="2" max="2" width="15.33203125" style="9" customWidth="1"/>
    <col min="3" max="4" width="11.5546875" style="9"/>
    <col min="5" max="5" width="10.88671875" style="9" customWidth="1"/>
    <col min="6" max="6" width="9.88671875" style="7" customWidth="1"/>
    <col min="7" max="8" width="9.109375" style="7" customWidth="1"/>
    <col min="9" max="9" width="6.44140625" style="7" customWidth="1"/>
    <col min="10" max="10" width="8.109375" style="6" customWidth="1"/>
    <col min="11" max="11" width="7.44140625" style="6" customWidth="1"/>
    <col min="12" max="12" width="8.6640625" style="7" customWidth="1"/>
    <col min="13" max="29" width="11.5546875" style="7" customWidth="1"/>
    <col min="30" max="30" width="11.5546875" style="7"/>
    <col min="31" max="31" width="13.77734375" style="7" bestFit="1" customWidth="1"/>
    <col min="32" max="32" width="15.109375" style="7" bestFit="1" customWidth="1"/>
    <col min="33" max="33" width="16.33203125" style="7" bestFit="1" customWidth="1"/>
    <col min="34" max="70" width="11.5546875" style="7"/>
    <col min="71" max="16384" width="11.5546875" style="9"/>
  </cols>
  <sheetData>
    <row r="3" spans="1:70" s="13" customFormat="1" ht="40.799999999999997" x14ac:dyDescent="0.2">
      <c r="A3" s="10" t="s">
        <v>9</v>
      </c>
      <c r="B3" s="10" t="s">
        <v>10</v>
      </c>
      <c r="C3" s="11" t="s">
        <v>11</v>
      </c>
      <c r="D3" s="11" t="s">
        <v>12</v>
      </c>
      <c r="E3" s="1" t="s">
        <v>31</v>
      </c>
      <c r="F3" s="1" t="s">
        <v>13</v>
      </c>
      <c r="G3" s="1" t="s">
        <v>15</v>
      </c>
      <c r="H3" s="1" t="s">
        <v>16</v>
      </c>
      <c r="I3" s="57" t="s">
        <v>17</v>
      </c>
      <c r="J3" s="1" t="s">
        <v>18</v>
      </c>
      <c r="K3" s="1" t="s">
        <v>19</v>
      </c>
      <c r="L3" s="1" t="s">
        <v>20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55</v>
      </c>
      <c r="V3" s="1" t="s">
        <v>35</v>
      </c>
      <c r="W3" s="1" t="s">
        <v>36</v>
      </c>
      <c r="X3" s="1" t="s">
        <v>38</v>
      </c>
      <c r="Y3" s="57" t="s">
        <v>39</v>
      </c>
      <c r="Z3" s="1" t="s">
        <v>40</v>
      </c>
      <c r="AA3" s="1" t="s">
        <v>41</v>
      </c>
      <c r="AB3" s="1" t="s">
        <v>42</v>
      </c>
      <c r="AC3" s="1" t="s">
        <v>43</v>
      </c>
      <c r="AD3" s="73" t="s">
        <v>88</v>
      </c>
      <c r="AE3" s="63" t="s">
        <v>85</v>
      </c>
      <c r="AF3" s="63" t="s">
        <v>86</v>
      </c>
      <c r="AG3" s="63" t="s">
        <v>87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</row>
    <row r="4" spans="1:70" s="13" customFormat="1" ht="14.55" customHeight="1" x14ac:dyDescent="0.2">
      <c r="A4" s="96" t="s">
        <v>21</v>
      </c>
      <c r="B4" s="14" t="s">
        <v>53</v>
      </c>
      <c r="C4" s="15">
        <v>9</v>
      </c>
      <c r="D4" s="11">
        <v>22</v>
      </c>
      <c r="E4" s="58"/>
      <c r="F4" s="29"/>
      <c r="G4" s="29"/>
      <c r="H4" s="29"/>
      <c r="I4" s="5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59"/>
      <c r="Z4" s="29"/>
      <c r="AA4" s="29"/>
      <c r="AB4" s="29"/>
      <c r="AC4" s="29"/>
      <c r="AD4" s="31">
        <f t="shared" ref="AD4:AD34" si="0">SUM(E4:AC4)</f>
        <v>0</v>
      </c>
      <c r="AE4" s="74">
        <v>21093334.691199999</v>
      </c>
      <c r="AF4" s="74">
        <f>+AD4*AE4</f>
        <v>0</v>
      </c>
      <c r="AG4" s="74">
        <f>+AF4*12</f>
        <v>0</v>
      </c>
      <c r="AH4" s="12">
        <f>SUM(E4:AC4)</f>
        <v>0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</row>
    <row r="5" spans="1:70" s="13" customFormat="1" x14ac:dyDescent="0.2">
      <c r="A5" s="97"/>
      <c r="B5" s="14" t="s">
        <v>54</v>
      </c>
      <c r="C5" s="15">
        <v>9</v>
      </c>
      <c r="D5" s="15">
        <v>20</v>
      </c>
      <c r="E5" s="60"/>
      <c r="F5" s="29"/>
      <c r="G5" s="29"/>
      <c r="H5" s="29"/>
      <c r="I5" s="59"/>
      <c r="J5" s="29"/>
      <c r="K5" s="29"/>
      <c r="L5" s="2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31">
        <f t="shared" si="0"/>
        <v>0</v>
      </c>
      <c r="AE5" s="74">
        <v>21093334.691199999</v>
      </c>
      <c r="AF5" s="74">
        <f>+AD5*AE5</f>
        <v>0</v>
      </c>
      <c r="AG5" s="74">
        <f>+AF5*12</f>
        <v>0</v>
      </c>
      <c r="AH5" s="12">
        <f t="shared" ref="AH5:AH52" si="1">SUM(E5:AC5)</f>
        <v>0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</row>
    <row r="6" spans="1:70" s="13" customFormat="1" x14ac:dyDescent="0.2">
      <c r="A6" s="10" t="s">
        <v>22</v>
      </c>
      <c r="B6" s="14" t="s">
        <v>56</v>
      </c>
      <c r="C6" s="15">
        <v>115</v>
      </c>
      <c r="D6" s="15">
        <v>14</v>
      </c>
      <c r="E6" s="58"/>
      <c r="F6" s="29"/>
      <c r="G6" s="29"/>
      <c r="H6" s="29"/>
      <c r="I6" s="59"/>
      <c r="J6" s="29"/>
      <c r="K6" s="29"/>
      <c r="L6" s="29"/>
      <c r="M6" s="59"/>
      <c r="N6" s="59"/>
      <c r="O6" s="59"/>
      <c r="P6" s="59"/>
      <c r="Q6" s="59"/>
      <c r="R6" s="59"/>
      <c r="S6" s="59"/>
      <c r="T6" s="59"/>
      <c r="U6" s="59">
        <v>1</v>
      </c>
      <c r="V6" s="59"/>
      <c r="W6" s="59"/>
      <c r="X6" s="59"/>
      <c r="Y6" s="59"/>
      <c r="Z6" s="59"/>
      <c r="AA6" s="59"/>
      <c r="AB6" s="59"/>
      <c r="AC6" s="59"/>
      <c r="AD6" s="31">
        <f t="shared" si="0"/>
        <v>1</v>
      </c>
      <c r="AE6" s="74">
        <v>20948482.655199997</v>
      </c>
      <c r="AF6" s="74">
        <f t="shared" ref="AF6:AF52" si="2">+AD6*AE6</f>
        <v>20948482.655199997</v>
      </c>
      <c r="AG6" s="74">
        <f t="shared" ref="AG6:AG52" si="3">+AF6*12</f>
        <v>251381791.86239997</v>
      </c>
      <c r="AH6" s="12">
        <f t="shared" si="1"/>
        <v>1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</row>
    <row r="7" spans="1:70" ht="20.399999999999999" x14ac:dyDescent="0.3">
      <c r="A7" s="98" t="s">
        <v>0</v>
      </c>
      <c r="B7" s="16" t="s">
        <v>44</v>
      </c>
      <c r="C7" s="17">
        <v>234</v>
      </c>
      <c r="D7" s="17">
        <v>18</v>
      </c>
      <c r="E7" s="3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5">
        <f t="shared" si="0"/>
        <v>0</v>
      </c>
      <c r="AE7" s="75">
        <v>13013014.067466667</v>
      </c>
      <c r="AF7" s="75">
        <f t="shared" si="2"/>
        <v>0</v>
      </c>
      <c r="AG7" s="75">
        <f t="shared" si="3"/>
        <v>0</v>
      </c>
      <c r="AH7" s="12">
        <f t="shared" si="1"/>
        <v>0</v>
      </c>
    </row>
    <row r="8" spans="1:70" ht="20.399999999999999" x14ac:dyDescent="0.3">
      <c r="A8" s="99"/>
      <c r="B8" s="16" t="s">
        <v>1</v>
      </c>
      <c r="C8" s="17">
        <v>222</v>
      </c>
      <c r="D8" s="17">
        <v>18</v>
      </c>
      <c r="E8" s="34"/>
      <c r="F8" s="2"/>
      <c r="G8" s="2"/>
      <c r="H8" s="2"/>
      <c r="I8" s="2">
        <v>2</v>
      </c>
      <c r="J8" s="2">
        <v>2</v>
      </c>
      <c r="K8" s="2"/>
      <c r="L8" s="2">
        <v>1</v>
      </c>
      <c r="M8" s="2"/>
      <c r="N8" s="2"/>
      <c r="O8" s="2"/>
      <c r="P8" s="2">
        <v>1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5">
        <f t="shared" si="0"/>
        <v>6</v>
      </c>
      <c r="AE8" s="75">
        <v>13013014.067466667</v>
      </c>
      <c r="AF8" s="75">
        <f t="shared" si="2"/>
        <v>78078084.404799998</v>
      </c>
      <c r="AG8" s="75">
        <f t="shared" si="3"/>
        <v>936937012.85759997</v>
      </c>
      <c r="AH8" s="12">
        <f t="shared" si="1"/>
        <v>6</v>
      </c>
    </row>
    <row r="9" spans="1:70" ht="20.399999999999999" x14ac:dyDescent="0.3">
      <c r="A9" s="99"/>
      <c r="B9" s="16" t="s">
        <v>1</v>
      </c>
      <c r="C9" s="17">
        <v>222</v>
      </c>
      <c r="D9" s="17">
        <v>17</v>
      </c>
      <c r="E9" s="34"/>
      <c r="F9" s="2"/>
      <c r="G9" s="2"/>
      <c r="H9" s="2"/>
      <c r="I9" s="2">
        <v>2</v>
      </c>
      <c r="J9" s="2"/>
      <c r="K9" s="2"/>
      <c r="L9" s="2"/>
      <c r="M9" s="2"/>
      <c r="N9" s="2"/>
      <c r="O9" s="2"/>
      <c r="P9" s="2"/>
      <c r="Q9" s="2">
        <v>1</v>
      </c>
      <c r="R9" s="2">
        <v>3</v>
      </c>
      <c r="S9" s="2"/>
      <c r="T9" s="2"/>
      <c r="U9" s="2">
        <v>2</v>
      </c>
      <c r="V9" s="2"/>
      <c r="W9" s="2"/>
      <c r="X9" s="2">
        <v>1</v>
      </c>
      <c r="Y9" s="2">
        <v>1</v>
      </c>
      <c r="Z9" s="2"/>
      <c r="AA9" s="2"/>
      <c r="AB9" s="2"/>
      <c r="AC9" s="2"/>
      <c r="AD9" s="35">
        <f t="shared" si="0"/>
        <v>10</v>
      </c>
      <c r="AE9" s="75">
        <v>12083212.6448</v>
      </c>
      <c r="AF9" s="75">
        <f t="shared" si="2"/>
        <v>120832126.448</v>
      </c>
      <c r="AG9" s="75">
        <f t="shared" si="3"/>
        <v>1449985517.3759999</v>
      </c>
      <c r="AH9" s="12">
        <f t="shared" si="1"/>
        <v>10</v>
      </c>
    </row>
    <row r="10" spans="1:70" ht="20.399999999999999" x14ac:dyDescent="0.3">
      <c r="A10" s="99"/>
      <c r="B10" s="16" t="s">
        <v>1</v>
      </c>
      <c r="C10" s="17">
        <v>222</v>
      </c>
      <c r="D10" s="17">
        <v>16</v>
      </c>
      <c r="E10" s="34">
        <v>1</v>
      </c>
      <c r="F10" s="2"/>
      <c r="G10" s="2"/>
      <c r="H10" s="2"/>
      <c r="I10" s="2"/>
      <c r="J10" s="2"/>
      <c r="K10" s="2">
        <v>2</v>
      </c>
      <c r="L10" s="2"/>
      <c r="M10" s="2">
        <v>2</v>
      </c>
      <c r="N10" s="2"/>
      <c r="O10" s="2"/>
      <c r="P10" s="2"/>
      <c r="Q10" s="2"/>
      <c r="R10" s="2"/>
      <c r="S10" s="2"/>
      <c r="T10" s="2"/>
      <c r="U10" s="2">
        <v>2</v>
      </c>
      <c r="V10" s="2"/>
      <c r="W10" s="2"/>
      <c r="X10" s="2"/>
      <c r="Y10" s="2"/>
      <c r="Z10" s="2"/>
      <c r="AA10" s="2"/>
      <c r="AB10" s="2"/>
      <c r="AC10" s="2"/>
      <c r="AD10" s="35">
        <f t="shared" si="0"/>
        <v>7</v>
      </c>
      <c r="AE10" s="75">
        <v>11487888.574933333</v>
      </c>
      <c r="AF10" s="75">
        <f t="shared" si="2"/>
        <v>80415220.024533331</v>
      </c>
      <c r="AG10" s="75">
        <f t="shared" si="3"/>
        <v>964982640.29439998</v>
      </c>
      <c r="AH10" s="12">
        <f t="shared" si="1"/>
        <v>7</v>
      </c>
    </row>
    <row r="11" spans="1:70" ht="20.399999999999999" x14ac:dyDescent="0.3">
      <c r="A11" s="99"/>
      <c r="B11" s="16" t="s">
        <v>1</v>
      </c>
      <c r="C11" s="17">
        <v>222</v>
      </c>
      <c r="D11" s="17">
        <v>15</v>
      </c>
      <c r="E11" s="34">
        <v>2</v>
      </c>
      <c r="F11" s="2">
        <v>1</v>
      </c>
      <c r="G11" s="2">
        <v>2</v>
      </c>
      <c r="H11" s="2"/>
      <c r="I11" s="2">
        <v>4</v>
      </c>
      <c r="J11" s="2"/>
      <c r="K11" s="2">
        <v>1</v>
      </c>
      <c r="L11" s="2">
        <v>2</v>
      </c>
      <c r="M11" s="2"/>
      <c r="N11" s="2">
        <v>1</v>
      </c>
      <c r="O11" s="2">
        <v>1</v>
      </c>
      <c r="P11" s="2">
        <v>1</v>
      </c>
      <c r="Q11" s="2">
        <v>1</v>
      </c>
      <c r="R11" s="2"/>
      <c r="S11" s="2"/>
      <c r="T11" s="2">
        <v>1</v>
      </c>
      <c r="U11" s="2">
        <v>1</v>
      </c>
      <c r="V11" s="2">
        <v>1</v>
      </c>
      <c r="W11" s="2">
        <v>2</v>
      </c>
      <c r="X11" s="2"/>
      <c r="Y11" s="2">
        <v>1</v>
      </c>
      <c r="Z11" s="2"/>
      <c r="AA11" s="2"/>
      <c r="AB11" s="2"/>
      <c r="AC11" s="2">
        <v>1</v>
      </c>
      <c r="AD11" s="35">
        <f t="shared" si="0"/>
        <v>23</v>
      </c>
      <c r="AE11" s="75">
        <v>10655272.380533332</v>
      </c>
      <c r="AF11" s="75">
        <f t="shared" si="2"/>
        <v>245071264.75226665</v>
      </c>
      <c r="AG11" s="75">
        <f t="shared" si="3"/>
        <v>2940855177.0271997</v>
      </c>
      <c r="AH11" s="12">
        <f t="shared" si="1"/>
        <v>23</v>
      </c>
    </row>
    <row r="12" spans="1:70" ht="20.399999999999999" x14ac:dyDescent="0.3">
      <c r="A12" s="99"/>
      <c r="B12" s="16" t="s">
        <v>1</v>
      </c>
      <c r="C12" s="17">
        <v>222</v>
      </c>
      <c r="D12" s="17">
        <v>14</v>
      </c>
      <c r="E12" s="34"/>
      <c r="F12" s="2">
        <v>1</v>
      </c>
      <c r="G12" s="2"/>
      <c r="H12" s="2"/>
      <c r="I12" s="2"/>
      <c r="J12" s="2"/>
      <c r="K12" s="2"/>
      <c r="L12" s="2"/>
      <c r="M12" s="2"/>
      <c r="N12" s="2">
        <v>3</v>
      </c>
      <c r="O12" s="2">
        <v>1</v>
      </c>
      <c r="P12" s="2"/>
      <c r="Q12" s="2"/>
      <c r="R12" s="2">
        <v>1</v>
      </c>
      <c r="S12" s="2"/>
      <c r="T12" s="2"/>
      <c r="U12" s="2"/>
      <c r="V12" s="2"/>
      <c r="W12" s="2"/>
      <c r="X12" s="2"/>
      <c r="Y12" s="2">
        <v>1</v>
      </c>
      <c r="Z12" s="2"/>
      <c r="AA12" s="2">
        <v>2</v>
      </c>
      <c r="AB12" s="2"/>
      <c r="AC12" s="2"/>
      <c r="AD12" s="35">
        <f t="shared" si="0"/>
        <v>9</v>
      </c>
      <c r="AE12" s="75">
        <v>9637504.0725333337</v>
      </c>
      <c r="AF12" s="75">
        <f t="shared" si="2"/>
        <v>86737536.652800009</v>
      </c>
      <c r="AG12" s="75">
        <f t="shared" si="3"/>
        <v>1040850439.8336</v>
      </c>
      <c r="AH12" s="12">
        <f t="shared" si="1"/>
        <v>9</v>
      </c>
    </row>
    <row r="13" spans="1:70" ht="20.399999999999999" x14ac:dyDescent="0.3">
      <c r="A13" s="99"/>
      <c r="B13" s="18" t="s">
        <v>2</v>
      </c>
      <c r="C13" s="19">
        <v>219</v>
      </c>
      <c r="D13" s="19">
        <v>14</v>
      </c>
      <c r="E13" s="36"/>
      <c r="F13" s="3">
        <v>1</v>
      </c>
      <c r="G13" s="3"/>
      <c r="H13" s="3"/>
      <c r="I13" s="3"/>
      <c r="J13" s="3"/>
      <c r="K13" s="3"/>
      <c r="L13" s="3"/>
      <c r="M13" s="3"/>
      <c r="N13" s="3"/>
      <c r="O13" s="3"/>
      <c r="P13" s="3">
        <v>2</v>
      </c>
      <c r="Q13" s="3"/>
      <c r="R13" s="3"/>
      <c r="S13" s="3">
        <v>2</v>
      </c>
      <c r="T13" s="3">
        <v>1</v>
      </c>
      <c r="U13" s="3"/>
      <c r="V13" s="3"/>
      <c r="W13" s="3">
        <v>1</v>
      </c>
      <c r="X13" s="3">
        <v>1</v>
      </c>
      <c r="Y13" s="3"/>
      <c r="Z13" s="3"/>
      <c r="AA13" s="3"/>
      <c r="AB13" s="3"/>
      <c r="AC13" s="3"/>
      <c r="AD13" s="37">
        <f t="shared" si="0"/>
        <v>8</v>
      </c>
      <c r="AE13" s="76">
        <v>9637504.0725333337</v>
      </c>
      <c r="AF13" s="76">
        <f t="shared" si="2"/>
        <v>77100032.580266669</v>
      </c>
      <c r="AG13" s="76">
        <f t="shared" si="3"/>
        <v>925200390.96320009</v>
      </c>
      <c r="AH13" s="12">
        <f t="shared" si="1"/>
        <v>8</v>
      </c>
    </row>
    <row r="14" spans="1:70" ht="20.399999999999999" x14ac:dyDescent="0.3">
      <c r="A14" s="99"/>
      <c r="B14" s="18" t="s">
        <v>2</v>
      </c>
      <c r="C14" s="19">
        <v>219</v>
      </c>
      <c r="D14" s="19">
        <v>13</v>
      </c>
      <c r="E14" s="3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7">
        <f t="shared" si="0"/>
        <v>0</v>
      </c>
      <c r="AE14" s="76">
        <v>9005835.2266666666</v>
      </c>
      <c r="AF14" s="76">
        <f t="shared" si="2"/>
        <v>0</v>
      </c>
      <c r="AG14" s="76">
        <f t="shared" si="3"/>
        <v>0</v>
      </c>
      <c r="AH14" s="12">
        <f t="shared" si="1"/>
        <v>0</v>
      </c>
    </row>
    <row r="15" spans="1:70" ht="20.399999999999999" x14ac:dyDescent="0.3">
      <c r="A15" s="99"/>
      <c r="B15" s="18" t="s">
        <v>2</v>
      </c>
      <c r="C15" s="19">
        <v>219</v>
      </c>
      <c r="D15" s="19">
        <v>12</v>
      </c>
      <c r="E15" s="36"/>
      <c r="F15" s="3"/>
      <c r="G15" s="3">
        <v>3</v>
      </c>
      <c r="H15" s="3"/>
      <c r="I15" s="3"/>
      <c r="J15" s="3"/>
      <c r="K15" s="3"/>
      <c r="L15" s="3"/>
      <c r="M15" s="3"/>
      <c r="N15" s="3"/>
      <c r="O15" s="3"/>
      <c r="P15" s="3">
        <v>2</v>
      </c>
      <c r="Q15" s="3"/>
      <c r="R15" s="3">
        <v>1</v>
      </c>
      <c r="S15" s="3"/>
      <c r="T15" s="3">
        <v>1</v>
      </c>
      <c r="U15" s="3">
        <v>1</v>
      </c>
      <c r="V15" s="3"/>
      <c r="W15" s="3">
        <v>1</v>
      </c>
      <c r="X15" s="3"/>
      <c r="Y15" s="3"/>
      <c r="Z15" s="3"/>
      <c r="AA15" s="3"/>
      <c r="AB15" s="3">
        <v>1</v>
      </c>
      <c r="AC15" s="3"/>
      <c r="AD15" s="37">
        <f t="shared" si="0"/>
        <v>10</v>
      </c>
      <c r="AE15" s="76">
        <v>8312132.7687999997</v>
      </c>
      <c r="AF15" s="76">
        <f t="shared" si="2"/>
        <v>83121327.687999994</v>
      </c>
      <c r="AG15" s="76">
        <f t="shared" si="3"/>
        <v>997455932.25599992</v>
      </c>
      <c r="AH15" s="12">
        <f t="shared" si="1"/>
        <v>10</v>
      </c>
    </row>
    <row r="16" spans="1:70" ht="20.399999999999999" x14ac:dyDescent="0.3">
      <c r="A16" s="99"/>
      <c r="B16" s="18" t="s">
        <v>2</v>
      </c>
      <c r="C16" s="19">
        <v>219</v>
      </c>
      <c r="D16" s="19">
        <v>11</v>
      </c>
      <c r="E16" s="36"/>
      <c r="F16" s="3"/>
      <c r="G16" s="3"/>
      <c r="H16" s="3">
        <v>4</v>
      </c>
      <c r="I16" s="3">
        <v>6</v>
      </c>
      <c r="J16" s="3"/>
      <c r="K16" s="3">
        <v>2</v>
      </c>
      <c r="L16" s="3">
        <v>3</v>
      </c>
      <c r="M16" s="3">
        <v>2</v>
      </c>
      <c r="N16" s="3">
        <v>2</v>
      </c>
      <c r="O16" s="3">
        <v>3</v>
      </c>
      <c r="P16" s="3">
        <v>2</v>
      </c>
      <c r="Q16" s="3">
        <v>2</v>
      </c>
      <c r="R16" s="3">
        <v>1</v>
      </c>
      <c r="S16" s="3"/>
      <c r="T16" s="3">
        <v>1</v>
      </c>
      <c r="U16" s="3">
        <v>4</v>
      </c>
      <c r="V16" s="3">
        <v>1</v>
      </c>
      <c r="W16" s="3">
        <v>3</v>
      </c>
      <c r="X16" s="3">
        <v>2</v>
      </c>
      <c r="Y16" s="3"/>
      <c r="Z16" s="3">
        <v>3</v>
      </c>
      <c r="AA16" s="3">
        <v>3</v>
      </c>
      <c r="AB16" s="3">
        <v>2</v>
      </c>
      <c r="AC16" s="3">
        <v>2</v>
      </c>
      <c r="AD16" s="37">
        <f t="shared" si="0"/>
        <v>48</v>
      </c>
      <c r="AE16" s="76">
        <v>7834632.0767999999</v>
      </c>
      <c r="AF16" s="76">
        <f t="shared" si="2"/>
        <v>376062339.6864</v>
      </c>
      <c r="AG16" s="76">
        <f t="shared" si="3"/>
        <v>4512748076.2368002</v>
      </c>
      <c r="AH16" s="12">
        <f t="shared" si="1"/>
        <v>48</v>
      </c>
    </row>
    <row r="17" spans="1:34" ht="20.399999999999999" x14ac:dyDescent="0.3">
      <c r="A17" s="100"/>
      <c r="B17" s="18" t="s">
        <v>45</v>
      </c>
      <c r="C17" s="19">
        <v>202</v>
      </c>
      <c r="D17" s="19">
        <v>15</v>
      </c>
      <c r="E17" s="3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7">
        <f t="shared" si="0"/>
        <v>1</v>
      </c>
      <c r="AE17" s="76">
        <v>10655272.380533332</v>
      </c>
      <c r="AF17" s="76">
        <f t="shared" si="2"/>
        <v>10655272.380533332</v>
      </c>
      <c r="AG17" s="76">
        <f t="shared" si="3"/>
        <v>127863268.56639999</v>
      </c>
      <c r="AH17" s="12">
        <f t="shared" si="1"/>
        <v>1</v>
      </c>
    </row>
    <row r="18" spans="1:34" ht="24.6" customHeight="1" x14ac:dyDescent="0.3">
      <c r="A18" s="101" t="s">
        <v>3</v>
      </c>
      <c r="B18" s="20" t="s">
        <v>4</v>
      </c>
      <c r="C18" s="21">
        <v>314</v>
      </c>
      <c r="D18" s="21">
        <v>18</v>
      </c>
      <c r="E18" s="38"/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9">
        <f t="shared" si="0"/>
        <v>1</v>
      </c>
      <c r="AE18" s="77">
        <v>6391023.3794666668</v>
      </c>
      <c r="AF18" s="77">
        <f t="shared" si="2"/>
        <v>6391023.3794666668</v>
      </c>
      <c r="AG18" s="77">
        <f t="shared" si="3"/>
        <v>76692280.553599998</v>
      </c>
      <c r="AH18" s="12">
        <f t="shared" si="1"/>
        <v>1</v>
      </c>
    </row>
    <row r="19" spans="1:34" ht="20.399999999999999" x14ac:dyDescent="0.3">
      <c r="A19" s="102"/>
      <c r="B19" s="20" t="s">
        <v>4</v>
      </c>
      <c r="C19" s="21">
        <v>314</v>
      </c>
      <c r="D19" s="21">
        <v>16</v>
      </c>
      <c r="E19" s="38"/>
      <c r="F19" s="4"/>
      <c r="G19" s="4"/>
      <c r="H19" s="4"/>
      <c r="I19" s="4">
        <v>2</v>
      </c>
      <c r="J19" s="4"/>
      <c r="K19" s="4">
        <v>1</v>
      </c>
      <c r="L19" s="4"/>
      <c r="M19" s="4"/>
      <c r="N19" s="4"/>
      <c r="O19" s="4"/>
      <c r="P19" s="4"/>
      <c r="Q19" s="4"/>
      <c r="R19" s="4"/>
      <c r="S19" s="4"/>
      <c r="T19" s="4"/>
      <c r="U19" s="4">
        <v>1</v>
      </c>
      <c r="V19" s="4"/>
      <c r="W19" s="4"/>
      <c r="X19" s="4"/>
      <c r="Y19" s="4"/>
      <c r="Z19" s="4"/>
      <c r="AA19" s="4"/>
      <c r="AB19" s="4"/>
      <c r="AC19" s="4"/>
      <c r="AD19" s="39">
        <f t="shared" si="0"/>
        <v>4</v>
      </c>
      <c r="AE19" s="77">
        <v>6201657.7773333341</v>
      </c>
      <c r="AF19" s="77">
        <f t="shared" si="2"/>
        <v>24806631.109333336</v>
      </c>
      <c r="AG19" s="77">
        <f t="shared" si="3"/>
        <v>297679573.31200004</v>
      </c>
      <c r="AH19" s="12">
        <f t="shared" si="1"/>
        <v>4</v>
      </c>
    </row>
    <row r="20" spans="1:34" ht="20.399999999999999" x14ac:dyDescent="0.3">
      <c r="A20" s="102"/>
      <c r="B20" s="20" t="s">
        <v>4</v>
      </c>
      <c r="C20" s="21">
        <v>314</v>
      </c>
      <c r="D20" s="21">
        <v>14</v>
      </c>
      <c r="E20" s="38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2</v>
      </c>
      <c r="Q20" s="4"/>
      <c r="R20" s="4">
        <v>1</v>
      </c>
      <c r="S20" s="4"/>
      <c r="T20" s="4">
        <v>6</v>
      </c>
      <c r="U20" s="4"/>
      <c r="V20" s="4"/>
      <c r="W20" s="4">
        <v>1</v>
      </c>
      <c r="X20" s="4">
        <v>1</v>
      </c>
      <c r="Y20" s="4"/>
      <c r="Z20" s="4"/>
      <c r="AA20" s="4"/>
      <c r="AB20" s="4"/>
      <c r="AC20" s="4"/>
      <c r="AD20" s="39">
        <f t="shared" si="0"/>
        <v>11</v>
      </c>
      <c r="AE20" s="77">
        <v>5251869.0194666665</v>
      </c>
      <c r="AF20" s="77">
        <f t="shared" si="2"/>
        <v>57770559.21413333</v>
      </c>
      <c r="AG20" s="77">
        <f t="shared" si="3"/>
        <v>693246710.56959999</v>
      </c>
      <c r="AH20" s="12">
        <f t="shared" si="1"/>
        <v>11</v>
      </c>
    </row>
    <row r="21" spans="1:34" ht="20.399999999999999" x14ac:dyDescent="0.3">
      <c r="A21" s="102"/>
      <c r="B21" s="20" t="s">
        <v>4</v>
      </c>
      <c r="C21" s="21">
        <v>314</v>
      </c>
      <c r="D21" s="21">
        <v>13</v>
      </c>
      <c r="E21" s="38"/>
      <c r="F21" s="4"/>
      <c r="G21" s="4"/>
      <c r="H21" s="4"/>
      <c r="I21" s="4">
        <v>5</v>
      </c>
      <c r="J21" s="4"/>
      <c r="K21" s="4"/>
      <c r="L21" s="4"/>
      <c r="M21" s="95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9">
        <f t="shared" si="0"/>
        <v>6</v>
      </c>
      <c r="AE21" s="77">
        <v>5066807.0421333332</v>
      </c>
      <c r="AF21" s="77">
        <f t="shared" si="2"/>
        <v>30400842.252799999</v>
      </c>
      <c r="AG21" s="77">
        <f t="shared" si="3"/>
        <v>364810107.03359997</v>
      </c>
      <c r="AH21" s="12">
        <f t="shared" si="1"/>
        <v>6</v>
      </c>
    </row>
    <row r="22" spans="1:34" ht="30.6" x14ac:dyDescent="0.3">
      <c r="A22" s="102"/>
      <c r="B22" s="20" t="s">
        <v>32</v>
      </c>
      <c r="C22" s="21">
        <v>312</v>
      </c>
      <c r="D22" s="21">
        <v>15</v>
      </c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9">
        <f t="shared" si="0"/>
        <v>0</v>
      </c>
      <c r="AE22" s="77">
        <v>5488857.1250666669</v>
      </c>
      <c r="AF22" s="77">
        <f t="shared" si="2"/>
        <v>0</v>
      </c>
      <c r="AG22" s="77">
        <f t="shared" si="3"/>
        <v>0</v>
      </c>
      <c r="AH22" s="12">
        <f t="shared" si="1"/>
        <v>0</v>
      </c>
    </row>
    <row r="23" spans="1:34" ht="20.399999999999999" x14ac:dyDescent="0.3">
      <c r="A23" s="102"/>
      <c r="B23" s="20" t="s">
        <v>46</v>
      </c>
      <c r="C23" s="21">
        <v>336</v>
      </c>
      <c r="D23" s="21">
        <v>15</v>
      </c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>
        <v>1</v>
      </c>
      <c r="AB23" s="4"/>
      <c r="AC23" s="4"/>
      <c r="AD23" s="39">
        <f t="shared" si="0"/>
        <v>1</v>
      </c>
      <c r="AE23" s="77">
        <v>5488857.1250666669</v>
      </c>
      <c r="AF23" s="77">
        <f t="shared" si="2"/>
        <v>5488857.1250666669</v>
      </c>
      <c r="AG23" s="77">
        <f t="shared" si="3"/>
        <v>65866285.500799999</v>
      </c>
      <c r="AH23" s="12">
        <f t="shared" si="1"/>
        <v>1</v>
      </c>
    </row>
    <row r="24" spans="1:34" ht="20.399999999999999" x14ac:dyDescent="0.3">
      <c r="A24" s="102"/>
      <c r="B24" s="20" t="s">
        <v>57</v>
      </c>
      <c r="C24" s="21">
        <v>338</v>
      </c>
      <c r="D24" s="21">
        <v>16</v>
      </c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>
        <v>1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39">
        <f t="shared" si="0"/>
        <v>1</v>
      </c>
      <c r="AE24" s="77">
        <v>5986763.7512000008</v>
      </c>
      <c r="AF24" s="77">
        <f t="shared" si="2"/>
        <v>5986763.7512000008</v>
      </c>
      <c r="AG24" s="77">
        <f t="shared" si="3"/>
        <v>71841165.014400005</v>
      </c>
      <c r="AH24" s="12">
        <f t="shared" si="1"/>
        <v>1</v>
      </c>
    </row>
    <row r="25" spans="1:34" ht="20.399999999999999" x14ac:dyDescent="0.3">
      <c r="A25" s="102"/>
      <c r="B25" s="20" t="s">
        <v>33</v>
      </c>
      <c r="C25" s="21">
        <v>340</v>
      </c>
      <c r="D25" s="22">
        <v>13</v>
      </c>
      <c r="E25" s="3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v>5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39">
        <f t="shared" si="0"/>
        <v>5</v>
      </c>
      <c r="AE25" s="77">
        <v>5066807.0421333332</v>
      </c>
      <c r="AF25" s="77">
        <f t="shared" si="2"/>
        <v>25334035.210666664</v>
      </c>
      <c r="AG25" s="77">
        <f t="shared" si="3"/>
        <v>304008422.528</v>
      </c>
      <c r="AH25" s="12">
        <f t="shared" si="1"/>
        <v>5</v>
      </c>
    </row>
    <row r="26" spans="1:34" ht="40.799999999999997" x14ac:dyDescent="0.3">
      <c r="A26" s="102"/>
      <c r="B26" s="20" t="s">
        <v>34</v>
      </c>
      <c r="C26" s="21">
        <v>314</v>
      </c>
      <c r="D26" s="21">
        <v>15</v>
      </c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v>1</v>
      </c>
      <c r="T26" s="4"/>
      <c r="U26" s="4"/>
      <c r="V26" s="4">
        <v>2</v>
      </c>
      <c r="W26" s="4"/>
      <c r="X26" s="4"/>
      <c r="Y26" s="4"/>
      <c r="Z26" s="4"/>
      <c r="AA26" s="4">
        <v>2</v>
      </c>
      <c r="AB26" s="4"/>
      <c r="AC26" s="4"/>
      <c r="AD26" s="39">
        <f t="shared" si="0"/>
        <v>5</v>
      </c>
      <c r="AE26" s="77">
        <v>5488857.1250666669</v>
      </c>
      <c r="AF26" s="77">
        <f t="shared" si="2"/>
        <v>27444285.625333335</v>
      </c>
      <c r="AG26" s="77">
        <f t="shared" si="3"/>
        <v>329331427.50400001</v>
      </c>
      <c r="AH26" s="12">
        <f t="shared" si="1"/>
        <v>5</v>
      </c>
    </row>
    <row r="27" spans="1:34" ht="20.399999999999999" x14ac:dyDescent="0.3">
      <c r="A27" s="103" t="s">
        <v>5</v>
      </c>
      <c r="B27" s="23" t="s">
        <v>6</v>
      </c>
      <c r="C27" s="24">
        <v>425</v>
      </c>
      <c r="D27" s="24">
        <v>26</v>
      </c>
      <c r="E27" s="40">
        <v>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v>1</v>
      </c>
      <c r="AA27" s="5"/>
      <c r="AB27" s="5"/>
      <c r="AC27" s="5"/>
      <c r="AD27" s="41">
        <f t="shared" si="0"/>
        <v>2</v>
      </c>
      <c r="AE27" s="78">
        <v>6770542.8941333331</v>
      </c>
      <c r="AF27" s="78">
        <f t="shared" si="2"/>
        <v>13541085.788266666</v>
      </c>
      <c r="AG27" s="78">
        <f t="shared" si="3"/>
        <v>162493029.45919999</v>
      </c>
      <c r="AH27" s="12">
        <f t="shared" si="1"/>
        <v>2</v>
      </c>
    </row>
    <row r="28" spans="1:34" ht="20.399999999999999" x14ac:dyDescent="0.3">
      <c r="A28" s="103"/>
      <c r="B28" s="23" t="s">
        <v>6</v>
      </c>
      <c r="C28" s="24">
        <v>425</v>
      </c>
      <c r="D28" s="24">
        <v>23</v>
      </c>
      <c r="E28" s="4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41">
        <f t="shared" si="0"/>
        <v>0</v>
      </c>
      <c r="AE28" s="78">
        <v>5488857.1250666669</v>
      </c>
      <c r="AF28" s="78">
        <f t="shared" si="2"/>
        <v>0</v>
      </c>
      <c r="AG28" s="78">
        <f t="shared" si="3"/>
        <v>0</v>
      </c>
      <c r="AH28" s="12">
        <f t="shared" si="1"/>
        <v>0</v>
      </c>
    </row>
    <row r="29" spans="1:34" ht="20.399999999999999" x14ac:dyDescent="0.3">
      <c r="A29" s="103"/>
      <c r="B29" s="23" t="s">
        <v>7</v>
      </c>
      <c r="C29" s="24">
        <v>407</v>
      </c>
      <c r="D29" s="24">
        <v>26</v>
      </c>
      <c r="E29" s="4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1">
        <f t="shared" si="0"/>
        <v>0</v>
      </c>
      <c r="AE29" s="78">
        <v>6770542.8941333331</v>
      </c>
      <c r="AF29" s="78">
        <f t="shared" si="2"/>
        <v>0</v>
      </c>
      <c r="AG29" s="78">
        <f t="shared" si="3"/>
        <v>0</v>
      </c>
      <c r="AH29" s="12">
        <f t="shared" si="1"/>
        <v>0</v>
      </c>
    </row>
    <row r="30" spans="1:34" ht="20.399999999999999" x14ac:dyDescent="0.3">
      <c r="A30" s="103"/>
      <c r="B30" s="23" t="s">
        <v>7</v>
      </c>
      <c r="C30" s="24">
        <v>407</v>
      </c>
      <c r="D30" s="24">
        <v>25</v>
      </c>
      <c r="E30" s="40"/>
      <c r="F30" s="5"/>
      <c r="G30" s="5"/>
      <c r="H30" s="5"/>
      <c r="I30" s="5">
        <v>2</v>
      </c>
      <c r="J30" s="5"/>
      <c r="K30" s="5"/>
      <c r="L30" s="5"/>
      <c r="M30" s="5"/>
      <c r="N30" s="5"/>
      <c r="O30" s="5"/>
      <c r="P30" s="5">
        <v>1</v>
      </c>
      <c r="Q30" s="5"/>
      <c r="R30" s="5"/>
      <c r="S30" s="5"/>
      <c r="T30" s="5"/>
      <c r="U30" s="5">
        <v>2</v>
      </c>
      <c r="V30" s="5"/>
      <c r="W30" s="5"/>
      <c r="X30" s="5"/>
      <c r="Y30" s="5"/>
      <c r="Z30" s="5"/>
      <c r="AA30" s="5"/>
      <c r="AB30" s="5"/>
      <c r="AC30" s="5"/>
      <c r="AD30" s="41">
        <f t="shared" si="0"/>
        <v>5</v>
      </c>
      <c r="AE30" s="78">
        <v>6639869.7512000008</v>
      </c>
      <c r="AF30" s="78">
        <f t="shared" si="2"/>
        <v>33199348.756000005</v>
      </c>
      <c r="AG30" s="78">
        <f t="shared" si="3"/>
        <v>398392185.07200003</v>
      </c>
      <c r="AH30" s="12">
        <f t="shared" si="1"/>
        <v>5</v>
      </c>
    </row>
    <row r="31" spans="1:34" ht="20.399999999999999" x14ac:dyDescent="0.3">
      <c r="A31" s="103"/>
      <c r="B31" s="23" t="s">
        <v>7</v>
      </c>
      <c r="C31" s="24">
        <v>407</v>
      </c>
      <c r="D31" s="24">
        <v>23</v>
      </c>
      <c r="E31" s="40"/>
      <c r="F31" s="5">
        <v>1</v>
      </c>
      <c r="G31" s="5">
        <v>1</v>
      </c>
      <c r="H31" s="5">
        <v>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41">
        <f t="shared" si="0"/>
        <v>3</v>
      </c>
      <c r="AE31" s="78">
        <v>5488857.1250666669</v>
      </c>
      <c r="AF31" s="78">
        <f t="shared" si="2"/>
        <v>16466571.3752</v>
      </c>
      <c r="AG31" s="78">
        <f t="shared" si="3"/>
        <v>197598856.50239998</v>
      </c>
      <c r="AH31" s="12">
        <f t="shared" si="1"/>
        <v>3</v>
      </c>
    </row>
    <row r="32" spans="1:34" ht="20.399999999999999" x14ac:dyDescent="0.3">
      <c r="A32" s="103"/>
      <c r="B32" s="23" t="s">
        <v>7</v>
      </c>
      <c r="C32" s="24">
        <v>407</v>
      </c>
      <c r="D32" s="24">
        <v>22</v>
      </c>
      <c r="E32" s="4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41">
        <f t="shared" si="0"/>
        <v>0</v>
      </c>
      <c r="AE32" s="78">
        <v>4684364.9736000001</v>
      </c>
      <c r="AF32" s="78">
        <f t="shared" si="2"/>
        <v>0</v>
      </c>
      <c r="AG32" s="78">
        <f t="shared" si="3"/>
        <v>0</v>
      </c>
      <c r="AH32" s="12">
        <f t="shared" si="1"/>
        <v>0</v>
      </c>
    </row>
    <row r="33" spans="1:34" ht="20.399999999999999" x14ac:dyDescent="0.3">
      <c r="A33" s="103"/>
      <c r="B33" s="23" t="s">
        <v>7</v>
      </c>
      <c r="C33" s="24">
        <v>407</v>
      </c>
      <c r="D33" s="24">
        <v>21</v>
      </c>
      <c r="E33" s="40"/>
      <c r="F33" s="5"/>
      <c r="G33" s="5"/>
      <c r="H33" s="5"/>
      <c r="I33" s="5">
        <v>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41">
        <f t="shared" si="0"/>
        <v>2</v>
      </c>
      <c r="AE33" s="78">
        <v>4684364.9736000001</v>
      </c>
      <c r="AF33" s="78">
        <f t="shared" si="2"/>
        <v>9368729.9472000003</v>
      </c>
      <c r="AG33" s="78">
        <f t="shared" si="3"/>
        <v>112424759.3664</v>
      </c>
      <c r="AH33" s="12">
        <f t="shared" si="1"/>
        <v>2</v>
      </c>
    </row>
    <row r="34" spans="1:34" ht="20.399999999999999" x14ac:dyDescent="0.3">
      <c r="A34" s="103"/>
      <c r="B34" s="23" t="s">
        <v>7</v>
      </c>
      <c r="C34" s="24">
        <v>407</v>
      </c>
      <c r="D34" s="24">
        <v>20</v>
      </c>
      <c r="E34" s="4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41">
        <f t="shared" si="0"/>
        <v>0</v>
      </c>
      <c r="AE34" s="78">
        <v>4359724.695733333</v>
      </c>
      <c r="AF34" s="78">
        <f t="shared" si="2"/>
        <v>0</v>
      </c>
      <c r="AG34" s="78">
        <f t="shared" si="3"/>
        <v>0</v>
      </c>
      <c r="AH34" s="12">
        <f t="shared" si="1"/>
        <v>0</v>
      </c>
    </row>
    <row r="35" spans="1:34" ht="20.399999999999999" x14ac:dyDescent="0.3">
      <c r="A35" s="103"/>
      <c r="B35" s="23" t="s">
        <v>7</v>
      </c>
      <c r="C35" s="24">
        <v>407</v>
      </c>
      <c r="D35" s="24">
        <v>19</v>
      </c>
      <c r="E35" s="4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41">
        <f t="shared" ref="AD35:AD53" si="4">SUM(E35:AC35)</f>
        <v>1</v>
      </c>
      <c r="AE35" s="78">
        <v>4359724.695733333</v>
      </c>
      <c r="AF35" s="78">
        <f t="shared" si="2"/>
        <v>4359724.695733333</v>
      </c>
      <c r="AG35" s="78">
        <f t="shared" si="3"/>
        <v>52316696.348799996</v>
      </c>
      <c r="AH35" s="12">
        <f t="shared" si="1"/>
        <v>1</v>
      </c>
    </row>
    <row r="36" spans="1:34" ht="20.399999999999999" x14ac:dyDescent="0.3">
      <c r="A36" s="103"/>
      <c r="B36" s="23" t="s">
        <v>7</v>
      </c>
      <c r="C36" s="24">
        <v>407</v>
      </c>
      <c r="D36" s="24">
        <v>18</v>
      </c>
      <c r="E36" s="4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41">
        <f t="shared" si="4"/>
        <v>0</v>
      </c>
      <c r="AE36" s="78">
        <v>4382551.8501333334</v>
      </c>
      <c r="AF36" s="78">
        <f t="shared" si="2"/>
        <v>0</v>
      </c>
      <c r="AG36" s="78">
        <f t="shared" si="3"/>
        <v>0</v>
      </c>
      <c r="AH36" s="12">
        <f t="shared" si="1"/>
        <v>0</v>
      </c>
    </row>
    <row r="37" spans="1:34" ht="20.399999999999999" x14ac:dyDescent="0.3">
      <c r="A37" s="103"/>
      <c r="B37" s="23" t="s">
        <v>7</v>
      </c>
      <c r="C37" s="24">
        <v>407</v>
      </c>
      <c r="D37" s="24">
        <v>17</v>
      </c>
      <c r="E37" s="4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41">
        <f t="shared" si="4"/>
        <v>0</v>
      </c>
      <c r="AE37" s="78">
        <v>4382551.8501333334</v>
      </c>
      <c r="AF37" s="78">
        <f t="shared" si="2"/>
        <v>0</v>
      </c>
      <c r="AG37" s="78">
        <f t="shared" si="3"/>
        <v>0</v>
      </c>
      <c r="AH37" s="12">
        <f t="shared" si="1"/>
        <v>0</v>
      </c>
    </row>
    <row r="38" spans="1:34" ht="20.399999999999999" x14ac:dyDescent="0.3">
      <c r="A38" s="103"/>
      <c r="B38" s="23" t="s">
        <v>7</v>
      </c>
      <c r="C38" s="24">
        <v>407</v>
      </c>
      <c r="D38" s="24">
        <v>16</v>
      </c>
      <c r="E38" s="4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1</v>
      </c>
      <c r="X38" s="5"/>
      <c r="Y38" s="5"/>
      <c r="Z38" s="5">
        <v>1</v>
      </c>
      <c r="AA38" s="5"/>
      <c r="AB38" s="5"/>
      <c r="AC38" s="5"/>
      <c r="AD38" s="41">
        <f t="shared" si="4"/>
        <v>2</v>
      </c>
      <c r="AE38" s="78">
        <v>4296780.3176000006</v>
      </c>
      <c r="AF38" s="78">
        <f t="shared" si="2"/>
        <v>8593560.6352000013</v>
      </c>
      <c r="AG38" s="78">
        <f t="shared" si="3"/>
        <v>103122727.62240002</v>
      </c>
      <c r="AH38" s="12">
        <f t="shared" si="1"/>
        <v>2</v>
      </c>
    </row>
    <row r="39" spans="1:34" ht="20.399999999999999" x14ac:dyDescent="0.3">
      <c r="A39" s="103"/>
      <c r="B39" s="23" t="s">
        <v>7</v>
      </c>
      <c r="C39" s="24">
        <v>407</v>
      </c>
      <c r="D39" s="24">
        <v>12</v>
      </c>
      <c r="E39" s="40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41">
        <f t="shared" si="4"/>
        <v>1</v>
      </c>
      <c r="AE39" s="78">
        <v>3810256.8325333335</v>
      </c>
      <c r="AF39" s="78">
        <f t="shared" si="2"/>
        <v>3810256.8325333335</v>
      </c>
      <c r="AG39" s="78">
        <f t="shared" si="3"/>
        <v>45723081.990400001</v>
      </c>
      <c r="AH39" s="12">
        <f t="shared" si="1"/>
        <v>1</v>
      </c>
    </row>
    <row r="40" spans="1:34" ht="20.399999999999999" x14ac:dyDescent="0.3">
      <c r="A40" s="103"/>
      <c r="B40" s="23" t="s">
        <v>49</v>
      </c>
      <c r="C40" s="24">
        <v>411</v>
      </c>
      <c r="D40" s="24">
        <v>25</v>
      </c>
      <c r="E40" s="4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</v>
      </c>
      <c r="AB40" s="5"/>
      <c r="AC40" s="5"/>
      <c r="AD40" s="41">
        <f t="shared" si="4"/>
        <v>1</v>
      </c>
      <c r="AE40" s="78">
        <v>6639869.7512000008</v>
      </c>
      <c r="AF40" s="78">
        <f t="shared" si="2"/>
        <v>6639869.7512000008</v>
      </c>
      <c r="AG40" s="78">
        <f t="shared" si="3"/>
        <v>79678437.014400005</v>
      </c>
      <c r="AH40" s="12">
        <f t="shared" si="1"/>
        <v>1</v>
      </c>
    </row>
    <row r="41" spans="1:34" ht="20.399999999999999" x14ac:dyDescent="0.3">
      <c r="A41" s="103"/>
      <c r="B41" s="23" t="s">
        <v>50</v>
      </c>
      <c r="C41" s="24">
        <v>418</v>
      </c>
      <c r="D41" s="24">
        <v>23</v>
      </c>
      <c r="E41" s="4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</v>
      </c>
      <c r="AB41" s="5"/>
      <c r="AC41" s="5"/>
      <c r="AD41" s="41">
        <f t="shared" si="4"/>
        <v>1</v>
      </c>
      <c r="AE41" s="78">
        <v>4684364.9736000001</v>
      </c>
      <c r="AF41" s="78">
        <f t="shared" si="2"/>
        <v>4684364.9736000001</v>
      </c>
      <c r="AG41" s="78">
        <f t="shared" si="3"/>
        <v>56212379.683200002</v>
      </c>
      <c r="AH41" s="12">
        <f t="shared" si="1"/>
        <v>1</v>
      </c>
    </row>
    <row r="42" spans="1:34" ht="20.399999999999999" x14ac:dyDescent="0.3">
      <c r="A42" s="103"/>
      <c r="B42" s="23" t="s">
        <v>48</v>
      </c>
      <c r="C42" s="24">
        <v>418</v>
      </c>
      <c r="D42" s="24">
        <v>21</v>
      </c>
      <c r="E42" s="4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</v>
      </c>
      <c r="AB42" s="5"/>
      <c r="AC42" s="5"/>
      <c r="AD42" s="41">
        <f t="shared" si="4"/>
        <v>1</v>
      </c>
      <c r="AE42" s="78">
        <v>5488857.1250666669</v>
      </c>
      <c r="AF42" s="78">
        <f t="shared" si="2"/>
        <v>5488857.1250666669</v>
      </c>
      <c r="AG42" s="78">
        <f t="shared" si="3"/>
        <v>65866285.500799999</v>
      </c>
      <c r="AH42" s="12">
        <f t="shared" si="1"/>
        <v>1</v>
      </c>
    </row>
    <row r="43" spans="1:34" ht="20.399999999999999" x14ac:dyDescent="0.3">
      <c r="A43" s="103"/>
      <c r="B43" s="23" t="s">
        <v>47</v>
      </c>
      <c r="C43" s="24">
        <v>417</v>
      </c>
      <c r="D43" s="24">
        <v>19</v>
      </c>
      <c r="E43" s="4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</v>
      </c>
      <c r="AB43" s="5"/>
      <c r="AC43" s="5"/>
      <c r="AD43" s="41">
        <f t="shared" si="4"/>
        <v>3</v>
      </c>
      <c r="AE43" s="78">
        <v>4359724.695733333</v>
      </c>
      <c r="AF43" s="78">
        <f t="shared" si="2"/>
        <v>13079174.087199999</v>
      </c>
      <c r="AG43" s="78">
        <f t="shared" si="3"/>
        <v>156950089.04639998</v>
      </c>
      <c r="AH43" s="12">
        <f t="shared" si="1"/>
        <v>3</v>
      </c>
    </row>
    <row r="44" spans="1:34" ht="20.399999999999999" x14ac:dyDescent="0.3">
      <c r="A44" s="103"/>
      <c r="B44" s="23" t="s">
        <v>52</v>
      </c>
      <c r="C44" s="24">
        <v>485</v>
      </c>
      <c r="D44" s="24">
        <v>16</v>
      </c>
      <c r="E44" s="4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14</v>
      </c>
      <c r="AB44" s="5"/>
      <c r="AC44" s="5"/>
      <c r="AD44" s="41">
        <f t="shared" si="4"/>
        <v>14</v>
      </c>
      <c r="AE44" s="78">
        <v>4296780.3176000006</v>
      </c>
      <c r="AF44" s="78">
        <f t="shared" si="2"/>
        <v>60154924.446400009</v>
      </c>
      <c r="AG44" s="78">
        <f t="shared" si="3"/>
        <v>721859093.35680008</v>
      </c>
      <c r="AH44" s="12">
        <f t="shared" si="1"/>
        <v>14</v>
      </c>
    </row>
    <row r="45" spans="1:34" x14ac:dyDescent="0.3">
      <c r="A45" s="103"/>
      <c r="B45" s="23" t="s">
        <v>8</v>
      </c>
      <c r="C45" s="24">
        <v>472</v>
      </c>
      <c r="D45" s="24">
        <v>17</v>
      </c>
      <c r="E45" s="4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41">
        <f t="shared" si="4"/>
        <v>0</v>
      </c>
      <c r="AE45" s="78">
        <v>4296780.3176000006</v>
      </c>
      <c r="AF45" s="78">
        <f t="shared" si="2"/>
        <v>0</v>
      </c>
      <c r="AG45" s="78">
        <f t="shared" si="3"/>
        <v>0</v>
      </c>
      <c r="AH45" s="12">
        <f t="shared" si="1"/>
        <v>0</v>
      </c>
    </row>
    <row r="46" spans="1:34" x14ac:dyDescent="0.3">
      <c r="A46" s="103"/>
      <c r="B46" s="23" t="s">
        <v>8</v>
      </c>
      <c r="C46" s="24">
        <v>472</v>
      </c>
      <c r="D46" s="24">
        <v>12</v>
      </c>
      <c r="E46" s="4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</v>
      </c>
      <c r="W46" s="5">
        <v>4</v>
      </c>
      <c r="X46" s="5"/>
      <c r="Y46" s="5"/>
      <c r="Z46" s="5"/>
      <c r="AA46" s="5"/>
      <c r="AB46" s="5"/>
      <c r="AC46" s="5"/>
      <c r="AD46" s="41">
        <f t="shared" si="4"/>
        <v>8</v>
      </c>
      <c r="AE46" s="78">
        <v>4296780.3176000006</v>
      </c>
      <c r="AF46" s="78">
        <f t="shared" si="2"/>
        <v>34374242.540800005</v>
      </c>
      <c r="AG46" s="78">
        <f t="shared" si="3"/>
        <v>412490910.48960006</v>
      </c>
      <c r="AH46" s="12">
        <f t="shared" si="1"/>
        <v>8</v>
      </c>
    </row>
    <row r="47" spans="1:34" ht="30.6" x14ac:dyDescent="0.3">
      <c r="A47" s="103"/>
      <c r="B47" s="23" t="s">
        <v>37</v>
      </c>
      <c r="C47" s="24">
        <v>470</v>
      </c>
      <c r="D47" s="24">
        <v>10</v>
      </c>
      <c r="E47" s="4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41">
        <f t="shared" si="4"/>
        <v>0</v>
      </c>
      <c r="AE47" s="78">
        <v>3319889.5704000001</v>
      </c>
      <c r="AF47" s="78">
        <f t="shared" si="2"/>
        <v>0</v>
      </c>
      <c r="AG47" s="78">
        <f t="shared" si="3"/>
        <v>0</v>
      </c>
      <c r="AH47" s="12">
        <f t="shared" si="1"/>
        <v>0</v>
      </c>
    </row>
    <row r="48" spans="1:34" x14ac:dyDescent="0.3">
      <c r="A48" s="103"/>
      <c r="B48" s="23" t="s">
        <v>51</v>
      </c>
      <c r="C48" s="24">
        <v>480</v>
      </c>
      <c r="D48" s="24">
        <v>12</v>
      </c>
      <c r="E48" s="4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41">
        <f t="shared" si="4"/>
        <v>0</v>
      </c>
      <c r="AE48" s="78">
        <v>3810256.8325333335</v>
      </c>
      <c r="AF48" s="78">
        <f t="shared" si="2"/>
        <v>0</v>
      </c>
      <c r="AG48" s="78">
        <f t="shared" si="3"/>
        <v>0</v>
      </c>
      <c r="AH48" s="12">
        <f t="shared" si="1"/>
        <v>0</v>
      </c>
    </row>
    <row r="49" spans="1:34" x14ac:dyDescent="0.3">
      <c r="A49" s="103"/>
      <c r="B49" s="23" t="s">
        <v>51</v>
      </c>
      <c r="C49" s="24">
        <v>480</v>
      </c>
      <c r="D49" s="24">
        <v>16</v>
      </c>
      <c r="E49" s="4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41">
        <f t="shared" si="4"/>
        <v>0</v>
      </c>
      <c r="AE49" s="78">
        <v>4296780.3176000006</v>
      </c>
      <c r="AF49" s="78">
        <f t="shared" si="2"/>
        <v>0</v>
      </c>
      <c r="AG49" s="78">
        <f t="shared" si="3"/>
        <v>0</v>
      </c>
      <c r="AH49" s="12">
        <f t="shared" si="1"/>
        <v>0</v>
      </c>
    </row>
    <row r="50" spans="1:34" x14ac:dyDescent="0.3">
      <c r="A50" s="103"/>
      <c r="B50" s="23" t="s">
        <v>51</v>
      </c>
      <c r="C50" s="24">
        <v>480</v>
      </c>
      <c r="D50" s="24">
        <v>19</v>
      </c>
      <c r="E50" s="40"/>
      <c r="F50" s="5"/>
      <c r="G50" s="5"/>
      <c r="H50" s="5"/>
      <c r="I50" s="5"/>
      <c r="J50" s="5"/>
      <c r="K50" s="5"/>
      <c r="L50" s="5"/>
      <c r="M50" s="5">
        <v>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41">
        <f t="shared" si="4"/>
        <v>1</v>
      </c>
      <c r="AE50" s="78">
        <v>4359724.695733333</v>
      </c>
      <c r="AF50" s="78">
        <f t="shared" si="2"/>
        <v>4359724.695733333</v>
      </c>
      <c r="AG50" s="78">
        <f t="shared" si="3"/>
        <v>52316696.348799996</v>
      </c>
      <c r="AH50" s="12">
        <f t="shared" si="1"/>
        <v>1</v>
      </c>
    </row>
    <row r="51" spans="1:34" ht="20.399999999999999" x14ac:dyDescent="0.3">
      <c r="A51" s="103"/>
      <c r="B51" s="23" t="s">
        <v>6</v>
      </c>
      <c r="C51" s="24">
        <v>485</v>
      </c>
      <c r="D51" s="24">
        <v>23</v>
      </c>
      <c r="E51" s="4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41">
        <f t="shared" si="4"/>
        <v>0</v>
      </c>
      <c r="AE51" s="78">
        <v>5488857.1250666669</v>
      </c>
      <c r="AF51" s="78">
        <f t="shared" si="2"/>
        <v>0</v>
      </c>
      <c r="AG51" s="78">
        <f t="shared" si="3"/>
        <v>0</v>
      </c>
      <c r="AH51" s="12">
        <f t="shared" si="1"/>
        <v>0</v>
      </c>
    </row>
    <row r="52" spans="1:34" ht="20.399999999999999" x14ac:dyDescent="0.3">
      <c r="A52" s="103"/>
      <c r="B52" s="23" t="s">
        <v>6</v>
      </c>
      <c r="C52" s="24">
        <v>485</v>
      </c>
      <c r="D52" s="24">
        <v>26</v>
      </c>
      <c r="E52" s="4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41">
        <f t="shared" si="4"/>
        <v>0</v>
      </c>
      <c r="AE52" s="78">
        <v>6770542.8941333331</v>
      </c>
      <c r="AF52" s="78">
        <f t="shared" si="2"/>
        <v>0</v>
      </c>
      <c r="AG52" s="78">
        <f t="shared" si="3"/>
        <v>0</v>
      </c>
      <c r="AH52" s="12">
        <f t="shared" si="1"/>
        <v>0</v>
      </c>
    </row>
    <row r="53" spans="1:34" ht="15.6" x14ac:dyDescent="0.3">
      <c r="A53" s="104" t="s">
        <v>14</v>
      </c>
      <c r="B53" s="104"/>
      <c r="C53" s="104"/>
      <c r="D53" s="104"/>
      <c r="E53" s="43">
        <f>SUM(E5:E52)</f>
        <v>4</v>
      </c>
      <c r="F53" s="25">
        <f>SUM(F8:F45)</f>
        <v>4</v>
      </c>
      <c r="G53" s="25">
        <f>SUM(G4:G52)</f>
        <v>6</v>
      </c>
      <c r="H53" s="25">
        <f>SUM(H8:H45)</f>
        <v>6</v>
      </c>
      <c r="I53" s="25">
        <f>SUM(I4:I52)</f>
        <v>25</v>
      </c>
      <c r="J53" s="25">
        <f>SUM(J5:J52)</f>
        <v>2</v>
      </c>
      <c r="K53" s="25">
        <f>SUM(K5:K52)</f>
        <v>6</v>
      </c>
      <c r="L53" s="25">
        <f>SUM(L5:L52)</f>
        <v>6</v>
      </c>
      <c r="M53" s="25">
        <f>SUM(M5:M52)</f>
        <v>6</v>
      </c>
      <c r="N53" s="25">
        <f>SUM(N5:N45)</f>
        <v>6</v>
      </c>
      <c r="O53" s="25">
        <f>SUM(O5:O52)</f>
        <v>5</v>
      </c>
      <c r="P53" s="25">
        <f>SUM(P5:P52)</f>
        <v>12</v>
      </c>
      <c r="Q53" s="25">
        <f>SUM(Q5:Q52)</f>
        <v>4</v>
      </c>
      <c r="R53" s="25">
        <f>SUM(R5:R45)</f>
        <v>8</v>
      </c>
      <c r="S53" s="25">
        <f>SUM(S5:S45)</f>
        <v>9</v>
      </c>
      <c r="T53" s="25">
        <f>SUM(T5:T52)</f>
        <v>10</v>
      </c>
      <c r="U53" s="25">
        <f>SUM(U4:U52)</f>
        <v>14</v>
      </c>
      <c r="V53" s="25">
        <f>SUM(V5:V46)</f>
        <v>8</v>
      </c>
      <c r="W53" s="25">
        <f>SUM(W5:W46)</f>
        <v>13</v>
      </c>
      <c r="X53" s="25">
        <f>SUM(X5:X47)</f>
        <v>5</v>
      </c>
      <c r="Y53" s="25">
        <f>SUM(Y5:Y47)</f>
        <v>3</v>
      </c>
      <c r="Z53" s="25">
        <f>SUM(Z5:Z47)</f>
        <v>6</v>
      </c>
      <c r="AA53" s="25">
        <f>SUM(AA5:AA52)</f>
        <v>28</v>
      </c>
      <c r="AB53" s="25">
        <f>SUM(AB5:AB52)</f>
        <v>3</v>
      </c>
      <c r="AC53" s="25">
        <f>SUM(AC5:AC52)</f>
        <v>3</v>
      </c>
      <c r="AD53" s="61">
        <f t="shared" si="4"/>
        <v>202</v>
      </c>
      <c r="AE53" s="79">
        <f>AD53-17</f>
        <v>185</v>
      </c>
      <c r="AF53" s="79">
        <f>SUM(AF4:AF52)</f>
        <v>1580765120.5909333</v>
      </c>
      <c r="AG53" s="79">
        <f>+AF53*12</f>
        <v>18969181447.091202</v>
      </c>
    </row>
    <row r="55" spans="1:34" x14ac:dyDescent="0.3">
      <c r="E55" s="7"/>
      <c r="J55" s="7"/>
      <c r="K55" s="7"/>
    </row>
    <row r="1048527" spans="32:32" x14ac:dyDescent="0.3">
      <c r="AF1048527" s="63"/>
    </row>
    <row r="1048528" spans="32:32" x14ac:dyDescent="0.3">
      <c r="AF1048528" s="67"/>
    </row>
    <row r="1048529" spans="32:32" x14ac:dyDescent="0.3">
      <c r="AF1048529" s="67"/>
    </row>
  </sheetData>
  <autoFilter ref="A3:BR53"/>
  <mergeCells count="5">
    <mergeCell ref="A4:A5"/>
    <mergeCell ref="A7:A17"/>
    <mergeCell ref="A18:A26"/>
    <mergeCell ref="A27:A52"/>
    <mergeCell ref="A53:D53"/>
  </mergeCells>
  <pageMargins left="0.7" right="0.7" top="0.75" bottom="0.75" header="0.3" footer="0.3"/>
  <pageSetup paperSize="14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R56"/>
  <sheetViews>
    <sheetView tabSelected="1" zoomScaleNormal="100" workbookViewId="0">
      <pane xSplit="9" ySplit="10" topLeftCell="J45" activePane="bottomRight" state="frozen"/>
      <selection pane="topRight" activeCell="J1" sqref="J1"/>
      <selection pane="bottomLeft" activeCell="A12" sqref="A12"/>
      <selection pane="bottomRight" activeCell="D1" sqref="D1:AD1048576"/>
    </sheetView>
  </sheetViews>
  <sheetFormatPr baseColWidth="10" defaultRowHeight="14.4" x14ac:dyDescent="0.3"/>
  <cols>
    <col min="1" max="1" width="15" style="9" customWidth="1"/>
    <col min="2" max="2" width="15.33203125" style="9" customWidth="1"/>
    <col min="3" max="4" width="11.5546875" style="9"/>
    <col min="5" max="5" width="10.88671875" style="9" customWidth="1"/>
    <col min="6" max="6" width="9.88671875" style="7" customWidth="1"/>
    <col min="7" max="8" width="9.109375" style="7" customWidth="1"/>
    <col min="9" max="10" width="6.44140625" style="7" customWidth="1"/>
    <col min="11" max="11" width="8.109375" style="6" customWidth="1"/>
    <col min="12" max="12" width="7.44140625" style="6" customWidth="1"/>
    <col min="13" max="13" width="8.6640625" style="7" customWidth="1"/>
    <col min="14" max="29" width="11.5546875" style="7" customWidth="1"/>
    <col min="30" max="30" width="11.5546875" style="7"/>
    <col min="31" max="31" width="13.44140625" style="7" bestFit="1" customWidth="1"/>
    <col min="32" max="32" width="18" style="7" bestFit="1" customWidth="1"/>
    <col min="33" max="33" width="19.109375" style="7" bestFit="1" customWidth="1"/>
    <col min="34" max="70" width="11.5546875" style="7"/>
    <col min="71" max="16384" width="11.5546875" style="9"/>
  </cols>
  <sheetData>
    <row r="3" spans="1:70" s="13" customFormat="1" ht="40.799999999999997" x14ac:dyDescent="0.2">
      <c r="A3" s="10" t="s">
        <v>9</v>
      </c>
      <c r="B3" s="10" t="s">
        <v>10</v>
      </c>
      <c r="C3" s="11" t="s">
        <v>11</v>
      </c>
      <c r="D3" s="11" t="s">
        <v>12</v>
      </c>
      <c r="E3" s="44" t="s">
        <v>31</v>
      </c>
      <c r="F3" s="44" t="s">
        <v>13</v>
      </c>
      <c r="G3" s="44" t="s">
        <v>15</v>
      </c>
      <c r="H3" s="44" t="s">
        <v>16</v>
      </c>
      <c r="I3" s="45" t="s">
        <v>17</v>
      </c>
      <c r="J3" s="44" t="s">
        <v>55</v>
      </c>
      <c r="K3" s="44" t="s">
        <v>18</v>
      </c>
      <c r="L3" s="44" t="s">
        <v>19</v>
      </c>
      <c r="M3" s="44" t="s">
        <v>20</v>
      </c>
      <c r="N3" s="44" t="s">
        <v>23</v>
      </c>
      <c r="O3" s="44" t="s">
        <v>24</v>
      </c>
      <c r="P3" s="44" t="s">
        <v>25</v>
      </c>
      <c r="Q3" s="44" t="s">
        <v>26</v>
      </c>
      <c r="R3" s="44" t="s">
        <v>27</v>
      </c>
      <c r="S3" s="44" t="s">
        <v>28</v>
      </c>
      <c r="T3" s="44" t="s">
        <v>29</v>
      </c>
      <c r="U3" s="44" t="s">
        <v>30</v>
      </c>
      <c r="V3" s="44" t="s">
        <v>35</v>
      </c>
      <c r="W3" s="44" t="s">
        <v>36</v>
      </c>
      <c r="X3" s="44" t="s">
        <v>38</v>
      </c>
      <c r="Y3" s="45" t="s">
        <v>39</v>
      </c>
      <c r="Z3" s="44" t="s">
        <v>40</v>
      </c>
      <c r="AA3" s="44" t="s">
        <v>41</v>
      </c>
      <c r="AB3" s="44" t="s">
        <v>42</v>
      </c>
      <c r="AC3" s="44" t="s">
        <v>43</v>
      </c>
      <c r="AD3" s="73" t="s">
        <v>88</v>
      </c>
      <c r="AE3" s="63" t="s">
        <v>85</v>
      </c>
      <c r="AF3" s="63" t="s">
        <v>86</v>
      </c>
      <c r="AG3" s="63" t="s">
        <v>87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</row>
    <row r="4" spans="1:70" s="13" customFormat="1" ht="14.55" customHeight="1" x14ac:dyDescent="0.2">
      <c r="A4" s="96" t="s">
        <v>21</v>
      </c>
      <c r="B4" s="14" t="s">
        <v>53</v>
      </c>
      <c r="C4" s="80">
        <v>9</v>
      </c>
      <c r="D4" s="80">
        <v>22</v>
      </c>
      <c r="E4" s="26"/>
      <c r="F4" s="27"/>
      <c r="G4" s="27"/>
      <c r="H4" s="27"/>
      <c r="I4" s="28"/>
      <c r="J4" s="30"/>
      <c r="K4" s="29"/>
      <c r="L4" s="29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8"/>
      <c r="Z4" s="27"/>
      <c r="AA4" s="27"/>
      <c r="AB4" s="27"/>
      <c r="AC4" s="27"/>
      <c r="AD4" s="31">
        <f>SUM(E4:AC4)</f>
        <v>0</v>
      </c>
      <c r="AE4" s="74">
        <v>21093334.691199999</v>
      </c>
      <c r="AF4" s="74">
        <f>+AD4*AE4</f>
        <v>0</v>
      </c>
      <c r="AG4" s="74">
        <f>+AF4*12</f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</row>
    <row r="5" spans="1:70" s="13" customFormat="1" x14ac:dyDescent="0.2">
      <c r="A5" s="97"/>
      <c r="B5" s="14" t="s">
        <v>54</v>
      </c>
      <c r="C5" s="80">
        <v>9</v>
      </c>
      <c r="D5" s="80">
        <v>20</v>
      </c>
      <c r="E5" s="32"/>
      <c r="F5" s="27"/>
      <c r="G5" s="27"/>
      <c r="H5" s="27"/>
      <c r="I5" s="28"/>
      <c r="J5" s="8"/>
      <c r="K5" s="29"/>
      <c r="L5" s="29"/>
      <c r="M5" s="27"/>
      <c r="N5" s="28"/>
      <c r="O5" s="28"/>
      <c r="P5" s="28"/>
      <c r="Q5" s="33"/>
      <c r="R5" s="33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31">
        <f>SUM(E5:AC5)</f>
        <v>0</v>
      </c>
      <c r="AE5" s="74">
        <v>21093334.691199999</v>
      </c>
      <c r="AF5" s="74">
        <f t="shared" ref="AF5:AF53" si="0">+AD5*AE5</f>
        <v>0</v>
      </c>
      <c r="AG5" s="74">
        <f t="shared" ref="AG5:AG53" si="1">+AF5*12</f>
        <v>0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</row>
    <row r="6" spans="1:70" s="13" customFormat="1" x14ac:dyDescent="0.2">
      <c r="A6" s="10" t="s">
        <v>22</v>
      </c>
      <c r="B6" s="14" t="s">
        <v>56</v>
      </c>
      <c r="C6" s="80">
        <v>115</v>
      </c>
      <c r="D6" s="80">
        <v>14</v>
      </c>
      <c r="E6" s="26"/>
      <c r="F6" s="27"/>
      <c r="G6" s="27"/>
      <c r="H6" s="27"/>
      <c r="I6" s="28"/>
      <c r="J6" s="8">
        <v>1</v>
      </c>
      <c r="K6" s="29"/>
      <c r="L6" s="29"/>
      <c r="M6" s="27"/>
      <c r="N6" s="28"/>
      <c r="O6" s="28"/>
      <c r="P6" s="28"/>
      <c r="Q6" s="33"/>
      <c r="R6" s="33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31">
        <f>SUM(E6:AC6)</f>
        <v>1</v>
      </c>
      <c r="AE6" s="74">
        <v>20948482.655199997</v>
      </c>
      <c r="AF6" s="74">
        <f t="shared" si="0"/>
        <v>20948482.655199997</v>
      </c>
      <c r="AG6" s="74">
        <f t="shared" si="1"/>
        <v>251381791.86239997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</row>
    <row r="7" spans="1:70" ht="20.399999999999999" x14ac:dyDescent="0.3">
      <c r="A7" s="98" t="s">
        <v>0</v>
      </c>
      <c r="B7" s="16" t="s">
        <v>44</v>
      </c>
      <c r="C7" s="17">
        <v>234</v>
      </c>
      <c r="D7" s="17">
        <v>18</v>
      </c>
      <c r="E7" s="34"/>
      <c r="F7" s="2"/>
      <c r="G7" s="2"/>
      <c r="H7" s="2"/>
      <c r="I7" s="2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1">
        <f t="shared" ref="AD7:AD53" si="2">SUM(E7:AC7)</f>
        <v>0</v>
      </c>
      <c r="AE7" s="74">
        <v>13013014.067466667</v>
      </c>
      <c r="AF7" s="74">
        <f t="shared" si="0"/>
        <v>0</v>
      </c>
      <c r="AG7" s="74">
        <f t="shared" si="1"/>
        <v>0</v>
      </c>
    </row>
    <row r="8" spans="1:70" ht="20.399999999999999" x14ac:dyDescent="0.3">
      <c r="A8" s="99"/>
      <c r="B8" s="16" t="s">
        <v>1</v>
      </c>
      <c r="C8" s="17">
        <v>222</v>
      </c>
      <c r="D8" s="17">
        <v>18</v>
      </c>
      <c r="E8" s="34"/>
      <c r="F8" s="2"/>
      <c r="G8" s="2"/>
      <c r="H8" s="2"/>
      <c r="I8" s="2">
        <v>2</v>
      </c>
      <c r="J8" s="8"/>
      <c r="K8" s="2">
        <v>2</v>
      </c>
      <c r="L8" s="2"/>
      <c r="M8" s="2">
        <v>1</v>
      </c>
      <c r="N8" s="2"/>
      <c r="O8" s="2"/>
      <c r="P8" s="2"/>
      <c r="Q8" s="2">
        <v>1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1">
        <f t="shared" si="2"/>
        <v>6</v>
      </c>
      <c r="AE8" s="74">
        <v>13013014.067466667</v>
      </c>
      <c r="AF8" s="74">
        <f t="shared" si="0"/>
        <v>78078084.404799998</v>
      </c>
      <c r="AG8" s="74">
        <f t="shared" si="1"/>
        <v>936937012.85759997</v>
      </c>
    </row>
    <row r="9" spans="1:70" ht="20.399999999999999" x14ac:dyDescent="0.3">
      <c r="A9" s="99"/>
      <c r="B9" s="16" t="s">
        <v>1</v>
      </c>
      <c r="C9" s="17">
        <v>222</v>
      </c>
      <c r="D9" s="17">
        <v>17</v>
      </c>
      <c r="E9" s="34"/>
      <c r="F9" s="2"/>
      <c r="G9" s="2"/>
      <c r="H9" s="2"/>
      <c r="I9" s="2">
        <v>2</v>
      </c>
      <c r="J9" s="8">
        <v>2</v>
      </c>
      <c r="K9" s="2"/>
      <c r="L9" s="2"/>
      <c r="M9" s="2"/>
      <c r="N9" s="2"/>
      <c r="O9" s="2"/>
      <c r="P9" s="2"/>
      <c r="Q9" s="2"/>
      <c r="R9" s="2">
        <v>1</v>
      </c>
      <c r="S9" s="2">
        <v>3</v>
      </c>
      <c r="T9" s="2"/>
      <c r="U9" s="2"/>
      <c r="V9" s="2"/>
      <c r="W9" s="2"/>
      <c r="X9" s="2">
        <v>1</v>
      </c>
      <c r="Y9" s="2">
        <v>1</v>
      </c>
      <c r="Z9" s="2"/>
      <c r="AA9" s="2"/>
      <c r="AB9" s="2"/>
      <c r="AC9" s="2"/>
      <c r="AD9" s="31">
        <f t="shared" si="2"/>
        <v>10</v>
      </c>
      <c r="AE9" s="74">
        <v>12083212.6448</v>
      </c>
      <c r="AF9" s="74">
        <f t="shared" si="0"/>
        <v>120832126.448</v>
      </c>
      <c r="AG9" s="74">
        <f t="shared" si="1"/>
        <v>1449985517.3759999</v>
      </c>
    </row>
    <row r="10" spans="1:70" ht="20.399999999999999" x14ac:dyDescent="0.3">
      <c r="A10" s="99"/>
      <c r="B10" s="16" t="s">
        <v>1</v>
      </c>
      <c r="C10" s="17">
        <v>222</v>
      </c>
      <c r="D10" s="17">
        <v>16</v>
      </c>
      <c r="E10" s="34">
        <v>1</v>
      </c>
      <c r="F10" s="2"/>
      <c r="G10" s="2"/>
      <c r="H10" s="2"/>
      <c r="I10" s="2"/>
      <c r="J10" s="8">
        <v>2</v>
      </c>
      <c r="K10" s="2"/>
      <c r="L10" s="2">
        <v>2</v>
      </c>
      <c r="M10" s="2"/>
      <c r="N10" s="2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31">
        <f t="shared" si="2"/>
        <v>7</v>
      </c>
      <c r="AE10" s="74">
        <v>11487888.574933333</v>
      </c>
      <c r="AF10" s="74">
        <f t="shared" si="0"/>
        <v>80415220.024533331</v>
      </c>
      <c r="AG10" s="74">
        <f t="shared" si="1"/>
        <v>964982640.29439998</v>
      </c>
    </row>
    <row r="11" spans="1:70" ht="20.399999999999999" x14ac:dyDescent="0.3">
      <c r="A11" s="99"/>
      <c r="B11" s="16" t="s">
        <v>1</v>
      </c>
      <c r="C11" s="17">
        <v>222</v>
      </c>
      <c r="D11" s="17">
        <v>15</v>
      </c>
      <c r="E11" s="34">
        <v>2</v>
      </c>
      <c r="F11" s="2">
        <v>1</v>
      </c>
      <c r="G11" s="2">
        <v>2</v>
      </c>
      <c r="H11" s="2"/>
      <c r="I11" s="2">
        <v>6</v>
      </c>
      <c r="J11" s="8">
        <v>1</v>
      </c>
      <c r="K11" s="2"/>
      <c r="L11" s="2">
        <v>1</v>
      </c>
      <c r="M11" s="2">
        <v>2</v>
      </c>
      <c r="N11" s="2"/>
      <c r="O11" s="2">
        <v>1</v>
      </c>
      <c r="P11" s="2">
        <v>1</v>
      </c>
      <c r="Q11" s="2">
        <v>1</v>
      </c>
      <c r="R11" s="2">
        <v>1</v>
      </c>
      <c r="S11" s="2"/>
      <c r="T11" s="2"/>
      <c r="U11" s="2">
        <v>1</v>
      </c>
      <c r="V11" s="2">
        <v>2</v>
      </c>
      <c r="W11" s="2">
        <v>3</v>
      </c>
      <c r="X11" s="2"/>
      <c r="Y11" s="2">
        <v>1</v>
      </c>
      <c r="Z11" s="2"/>
      <c r="AA11" s="2"/>
      <c r="AB11" s="2"/>
      <c r="AC11" s="2">
        <v>1</v>
      </c>
      <c r="AD11" s="31">
        <f t="shared" si="2"/>
        <v>27</v>
      </c>
      <c r="AE11" s="74">
        <v>10655272.380533332</v>
      </c>
      <c r="AF11" s="74">
        <f t="shared" si="0"/>
        <v>287692354.27439994</v>
      </c>
      <c r="AG11" s="74">
        <f t="shared" si="1"/>
        <v>3452308251.292799</v>
      </c>
    </row>
    <row r="12" spans="1:70" ht="20.399999999999999" x14ac:dyDescent="0.3">
      <c r="A12" s="99"/>
      <c r="B12" s="16" t="s">
        <v>1</v>
      </c>
      <c r="C12" s="17">
        <v>222</v>
      </c>
      <c r="D12" s="17">
        <v>14</v>
      </c>
      <c r="E12" s="34"/>
      <c r="F12" s="2">
        <v>1</v>
      </c>
      <c r="G12" s="2"/>
      <c r="H12" s="2"/>
      <c r="I12" s="2"/>
      <c r="J12" s="8"/>
      <c r="K12" s="2"/>
      <c r="L12" s="2"/>
      <c r="M12" s="2"/>
      <c r="N12" s="2"/>
      <c r="O12" s="2">
        <v>4</v>
      </c>
      <c r="P12" s="2">
        <v>1</v>
      </c>
      <c r="Q12" s="2"/>
      <c r="R12" s="2"/>
      <c r="S12" s="2">
        <v>1</v>
      </c>
      <c r="T12" s="2"/>
      <c r="U12" s="2"/>
      <c r="V12" s="2"/>
      <c r="W12" s="2"/>
      <c r="X12" s="2"/>
      <c r="Y12" s="2">
        <v>1</v>
      </c>
      <c r="Z12" s="2"/>
      <c r="AA12" s="2">
        <v>2</v>
      </c>
      <c r="AB12" s="2"/>
      <c r="AC12" s="2"/>
      <c r="AD12" s="31">
        <f t="shared" si="2"/>
        <v>10</v>
      </c>
      <c r="AE12" s="74">
        <v>9637504.0725333337</v>
      </c>
      <c r="AF12" s="74">
        <f t="shared" si="0"/>
        <v>96375040.725333333</v>
      </c>
      <c r="AG12" s="74">
        <f t="shared" si="1"/>
        <v>1156500488.704</v>
      </c>
    </row>
    <row r="13" spans="1:70" ht="20.399999999999999" x14ac:dyDescent="0.3">
      <c r="A13" s="99"/>
      <c r="B13" s="18" t="s">
        <v>2</v>
      </c>
      <c r="C13" s="19">
        <v>219</v>
      </c>
      <c r="D13" s="19">
        <v>14</v>
      </c>
      <c r="E13" s="36"/>
      <c r="F13" s="3">
        <v>1</v>
      </c>
      <c r="G13" s="3"/>
      <c r="H13" s="3"/>
      <c r="I13" s="3"/>
      <c r="J13" s="8"/>
      <c r="K13" s="3"/>
      <c r="L13" s="3"/>
      <c r="M13" s="3"/>
      <c r="N13" s="3"/>
      <c r="O13" s="3"/>
      <c r="P13" s="3"/>
      <c r="Q13" s="3">
        <v>2</v>
      </c>
      <c r="R13" s="3"/>
      <c r="S13" s="3"/>
      <c r="T13" s="3">
        <v>2</v>
      </c>
      <c r="U13" s="3">
        <v>1</v>
      </c>
      <c r="V13" s="3"/>
      <c r="W13" s="3">
        <v>1</v>
      </c>
      <c r="X13" s="3">
        <v>1</v>
      </c>
      <c r="Y13" s="3"/>
      <c r="Z13" s="3"/>
      <c r="AA13" s="3"/>
      <c r="AB13" s="3"/>
      <c r="AC13" s="3"/>
      <c r="AD13" s="31">
        <f t="shared" si="2"/>
        <v>8</v>
      </c>
      <c r="AE13" s="74">
        <v>9637504.0725333337</v>
      </c>
      <c r="AF13" s="74">
        <f t="shared" si="0"/>
        <v>77100032.580266669</v>
      </c>
      <c r="AG13" s="74">
        <f t="shared" si="1"/>
        <v>925200390.96320009</v>
      </c>
    </row>
    <row r="14" spans="1:70" ht="20.399999999999999" x14ac:dyDescent="0.3">
      <c r="A14" s="99"/>
      <c r="B14" s="18" t="s">
        <v>2</v>
      </c>
      <c r="C14" s="19">
        <v>219</v>
      </c>
      <c r="D14" s="19">
        <v>13</v>
      </c>
      <c r="E14" s="36"/>
      <c r="F14" s="3"/>
      <c r="G14" s="3"/>
      <c r="H14" s="3"/>
      <c r="I14" s="3"/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1">
        <f t="shared" si="2"/>
        <v>0</v>
      </c>
      <c r="AE14" s="74">
        <v>9005835.2266666666</v>
      </c>
      <c r="AF14" s="74">
        <f t="shared" si="0"/>
        <v>0</v>
      </c>
      <c r="AG14" s="74">
        <f t="shared" si="1"/>
        <v>0</v>
      </c>
    </row>
    <row r="15" spans="1:70" ht="20.399999999999999" x14ac:dyDescent="0.3">
      <c r="A15" s="99"/>
      <c r="B15" s="18" t="s">
        <v>2</v>
      </c>
      <c r="C15" s="19">
        <v>219</v>
      </c>
      <c r="D15" s="19">
        <v>12</v>
      </c>
      <c r="E15" s="36"/>
      <c r="F15" s="3"/>
      <c r="G15" s="3">
        <v>3</v>
      </c>
      <c r="H15" s="3"/>
      <c r="I15" s="3">
        <v>4</v>
      </c>
      <c r="J15" s="8">
        <v>1</v>
      </c>
      <c r="K15" s="3"/>
      <c r="L15" s="3"/>
      <c r="M15" s="3"/>
      <c r="N15" s="3"/>
      <c r="O15" s="3"/>
      <c r="P15" s="3"/>
      <c r="Q15" s="3">
        <v>3</v>
      </c>
      <c r="R15" s="3"/>
      <c r="S15" s="3">
        <v>1</v>
      </c>
      <c r="T15" s="3"/>
      <c r="U15" s="3">
        <v>1</v>
      </c>
      <c r="V15" s="3"/>
      <c r="W15" s="3">
        <v>1</v>
      </c>
      <c r="X15" s="3"/>
      <c r="Y15" s="3"/>
      <c r="Z15" s="3"/>
      <c r="AA15" s="3"/>
      <c r="AB15" s="3">
        <v>2</v>
      </c>
      <c r="AC15" s="3"/>
      <c r="AD15" s="31">
        <f t="shared" si="2"/>
        <v>16</v>
      </c>
      <c r="AE15" s="74">
        <v>8312132.7687999997</v>
      </c>
      <c r="AF15" s="74">
        <f t="shared" si="0"/>
        <v>132994124.3008</v>
      </c>
      <c r="AG15" s="74">
        <f t="shared" si="1"/>
        <v>1595929491.6096001</v>
      </c>
    </row>
    <row r="16" spans="1:70" ht="20.399999999999999" x14ac:dyDescent="0.3">
      <c r="A16" s="99"/>
      <c r="B16" s="18" t="s">
        <v>2</v>
      </c>
      <c r="C16" s="19">
        <v>219</v>
      </c>
      <c r="D16" s="19">
        <v>11</v>
      </c>
      <c r="E16" s="36"/>
      <c r="F16" s="3"/>
      <c r="G16" s="3"/>
      <c r="H16" s="3">
        <v>5</v>
      </c>
      <c r="I16" s="3">
        <v>11</v>
      </c>
      <c r="J16" s="8">
        <v>4</v>
      </c>
      <c r="K16" s="3"/>
      <c r="L16" s="3">
        <v>2</v>
      </c>
      <c r="M16" s="3">
        <v>6</v>
      </c>
      <c r="N16" s="3">
        <v>4</v>
      </c>
      <c r="O16" s="3">
        <v>2</v>
      </c>
      <c r="P16" s="3">
        <v>3</v>
      </c>
      <c r="Q16" s="3">
        <v>2</v>
      </c>
      <c r="R16" s="3">
        <v>2</v>
      </c>
      <c r="S16" s="3">
        <v>1</v>
      </c>
      <c r="T16" s="3"/>
      <c r="U16" s="3">
        <v>1</v>
      </c>
      <c r="V16" s="3">
        <v>2</v>
      </c>
      <c r="W16" s="3">
        <v>4</v>
      </c>
      <c r="X16" s="3">
        <v>3</v>
      </c>
      <c r="Y16" s="3"/>
      <c r="Z16" s="3">
        <f>2+2+2+1+1</f>
        <v>8</v>
      </c>
      <c r="AA16" s="3">
        <v>4</v>
      </c>
      <c r="AB16" s="3">
        <v>2</v>
      </c>
      <c r="AC16" s="3">
        <f>1+1+1+1</f>
        <v>4</v>
      </c>
      <c r="AD16" s="31">
        <f t="shared" si="2"/>
        <v>70</v>
      </c>
      <c r="AE16" s="74">
        <v>7834632.0767999999</v>
      </c>
      <c r="AF16" s="74">
        <f t="shared" si="0"/>
        <v>548424245.37600005</v>
      </c>
      <c r="AG16" s="74">
        <f t="shared" si="1"/>
        <v>6581090944.512001</v>
      </c>
    </row>
    <row r="17" spans="1:33" ht="20.399999999999999" x14ac:dyDescent="0.3">
      <c r="A17" s="100"/>
      <c r="B17" s="18" t="s">
        <v>45</v>
      </c>
      <c r="C17" s="19">
        <v>202</v>
      </c>
      <c r="D17" s="19">
        <v>15</v>
      </c>
      <c r="E17" s="36"/>
      <c r="F17" s="3"/>
      <c r="G17" s="3"/>
      <c r="H17" s="3"/>
      <c r="I17" s="3"/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1">
        <f t="shared" si="2"/>
        <v>1</v>
      </c>
      <c r="AE17" s="74">
        <v>10655272.380533332</v>
      </c>
      <c r="AF17" s="74">
        <f t="shared" si="0"/>
        <v>10655272.380533332</v>
      </c>
      <c r="AG17" s="74">
        <f t="shared" si="1"/>
        <v>127863268.56639999</v>
      </c>
    </row>
    <row r="18" spans="1:33" ht="24.6" customHeight="1" x14ac:dyDescent="0.3">
      <c r="A18" s="101" t="s">
        <v>3</v>
      </c>
      <c r="B18" s="20" t="s">
        <v>4</v>
      </c>
      <c r="C18" s="21">
        <v>314</v>
      </c>
      <c r="D18" s="21">
        <v>18</v>
      </c>
      <c r="E18" s="38"/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31">
        <f t="shared" si="2"/>
        <v>1</v>
      </c>
      <c r="AE18" s="74">
        <v>6391023.3794666668</v>
      </c>
      <c r="AF18" s="74">
        <f t="shared" si="0"/>
        <v>6391023.3794666668</v>
      </c>
      <c r="AG18" s="74">
        <f t="shared" si="1"/>
        <v>76692280.553599998</v>
      </c>
    </row>
    <row r="19" spans="1:33" ht="20.399999999999999" x14ac:dyDescent="0.3">
      <c r="A19" s="102"/>
      <c r="B19" s="20" t="s">
        <v>4</v>
      </c>
      <c r="C19" s="21">
        <v>314</v>
      </c>
      <c r="D19" s="21">
        <v>16</v>
      </c>
      <c r="E19" s="38"/>
      <c r="F19" s="4"/>
      <c r="G19" s="4"/>
      <c r="H19" s="4"/>
      <c r="I19" s="4">
        <v>5</v>
      </c>
      <c r="J19" s="4">
        <v>2</v>
      </c>
      <c r="K19" s="4"/>
      <c r="L19" s="4">
        <v>1</v>
      </c>
      <c r="M19" s="4"/>
      <c r="N19" s="4"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1">
        <f t="shared" si="2"/>
        <v>9</v>
      </c>
      <c r="AE19" s="74">
        <v>6201657.7773333341</v>
      </c>
      <c r="AF19" s="74">
        <f t="shared" si="0"/>
        <v>55814919.996000007</v>
      </c>
      <c r="AG19" s="74">
        <f t="shared" si="1"/>
        <v>669779039.95200014</v>
      </c>
    </row>
    <row r="20" spans="1:33" ht="20.399999999999999" x14ac:dyDescent="0.3">
      <c r="A20" s="102"/>
      <c r="B20" s="20" t="s">
        <v>4</v>
      </c>
      <c r="C20" s="21">
        <v>314</v>
      </c>
      <c r="D20" s="21">
        <v>14</v>
      </c>
      <c r="E20" s="38"/>
      <c r="F20" s="4"/>
      <c r="G20" s="4"/>
      <c r="H20" s="4"/>
      <c r="I20" s="4"/>
      <c r="J20" s="4"/>
      <c r="K20" s="4"/>
      <c r="L20" s="4"/>
      <c r="M20" s="4">
        <v>2</v>
      </c>
      <c r="N20" s="4">
        <v>1</v>
      </c>
      <c r="O20" s="4"/>
      <c r="P20" s="4"/>
      <c r="Q20" s="4">
        <v>1</v>
      </c>
      <c r="R20" s="4"/>
      <c r="S20" s="4">
        <v>3</v>
      </c>
      <c r="T20" s="4"/>
      <c r="U20" s="4">
        <v>9</v>
      </c>
      <c r="V20" s="4"/>
      <c r="W20" s="4">
        <v>2</v>
      </c>
      <c r="X20" s="4">
        <v>2</v>
      </c>
      <c r="Y20" s="4"/>
      <c r="Z20" s="4"/>
      <c r="AA20" s="4"/>
      <c r="AB20" s="4"/>
      <c r="AC20" s="4"/>
      <c r="AD20" s="31">
        <f t="shared" si="2"/>
        <v>20</v>
      </c>
      <c r="AE20" s="74">
        <v>5251869.0194666665</v>
      </c>
      <c r="AF20" s="74">
        <f t="shared" si="0"/>
        <v>105037380.38933334</v>
      </c>
      <c r="AG20" s="74">
        <f t="shared" si="1"/>
        <v>1260448564.6719999</v>
      </c>
    </row>
    <row r="21" spans="1:33" ht="20.399999999999999" x14ac:dyDescent="0.3">
      <c r="A21" s="102"/>
      <c r="B21" s="20" t="s">
        <v>4</v>
      </c>
      <c r="C21" s="21">
        <v>314</v>
      </c>
      <c r="D21" s="21">
        <v>13</v>
      </c>
      <c r="E21" s="38"/>
      <c r="F21" s="4"/>
      <c r="G21" s="4"/>
      <c r="H21" s="4"/>
      <c r="I21" s="4">
        <v>11</v>
      </c>
      <c r="J21" s="4"/>
      <c r="K21" s="4"/>
      <c r="L21" s="4"/>
      <c r="M21" s="4"/>
      <c r="N21" s="4">
        <v>1</v>
      </c>
      <c r="O21" s="4"/>
      <c r="P21" s="4"/>
      <c r="Q21" s="4"/>
      <c r="R21" s="4"/>
      <c r="S21" s="4"/>
      <c r="T21" s="4"/>
      <c r="U21" s="4"/>
      <c r="V21" s="4"/>
      <c r="W21" s="4">
        <v>1</v>
      </c>
      <c r="X21" s="4"/>
      <c r="Y21" s="4"/>
      <c r="Z21" s="4"/>
      <c r="AA21" s="4"/>
      <c r="AB21" s="4"/>
      <c r="AC21" s="4"/>
      <c r="AD21" s="31">
        <f t="shared" si="2"/>
        <v>13</v>
      </c>
      <c r="AE21" s="74">
        <v>5066807.0421333332</v>
      </c>
      <c r="AF21" s="74">
        <f t="shared" si="0"/>
        <v>65868491.547733329</v>
      </c>
      <c r="AG21" s="74">
        <f t="shared" si="1"/>
        <v>790421898.57279992</v>
      </c>
    </row>
    <row r="22" spans="1:33" ht="30.6" x14ac:dyDescent="0.3">
      <c r="A22" s="102"/>
      <c r="B22" s="20" t="s">
        <v>32</v>
      </c>
      <c r="C22" s="21">
        <v>312</v>
      </c>
      <c r="D22" s="21">
        <v>15</v>
      </c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1">
        <f t="shared" si="2"/>
        <v>0</v>
      </c>
      <c r="AE22" s="74">
        <v>5488857.1250666669</v>
      </c>
      <c r="AF22" s="74">
        <f t="shared" si="0"/>
        <v>0</v>
      </c>
      <c r="AG22" s="74">
        <f t="shared" si="1"/>
        <v>0</v>
      </c>
    </row>
    <row r="23" spans="1:33" ht="20.399999999999999" x14ac:dyDescent="0.3">
      <c r="A23" s="102"/>
      <c r="B23" s="20" t="s">
        <v>46</v>
      </c>
      <c r="C23" s="21">
        <v>336</v>
      </c>
      <c r="D23" s="21">
        <v>17</v>
      </c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>
        <v>1</v>
      </c>
      <c r="AB23" s="4"/>
      <c r="AC23" s="4"/>
      <c r="AD23" s="31">
        <f t="shared" si="2"/>
        <v>1</v>
      </c>
      <c r="AE23" s="74">
        <v>5488857.1250666669</v>
      </c>
      <c r="AF23" s="74">
        <f t="shared" si="0"/>
        <v>5488857.1250666669</v>
      </c>
      <c r="AG23" s="74">
        <f t="shared" si="1"/>
        <v>65866285.500799999</v>
      </c>
    </row>
    <row r="24" spans="1:33" ht="20.399999999999999" x14ac:dyDescent="0.3">
      <c r="A24" s="102"/>
      <c r="B24" s="20" t="s">
        <v>57</v>
      </c>
      <c r="C24" s="21">
        <v>338</v>
      </c>
      <c r="D24" s="21">
        <v>16</v>
      </c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v>1</v>
      </c>
      <c r="U24" s="4"/>
      <c r="V24" s="4"/>
      <c r="W24" s="4"/>
      <c r="X24" s="4"/>
      <c r="Y24" s="4"/>
      <c r="Z24" s="4"/>
      <c r="AA24" s="4"/>
      <c r="AB24" s="4"/>
      <c r="AC24" s="4"/>
      <c r="AD24" s="31">
        <f t="shared" si="2"/>
        <v>1</v>
      </c>
      <c r="AE24" s="74">
        <v>5986763.7512000008</v>
      </c>
      <c r="AF24" s="74">
        <f t="shared" si="0"/>
        <v>5986763.7512000008</v>
      </c>
      <c r="AG24" s="74">
        <f t="shared" si="1"/>
        <v>71841165.014400005</v>
      </c>
    </row>
    <row r="25" spans="1:33" ht="20.399999999999999" x14ac:dyDescent="0.3">
      <c r="A25" s="102"/>
      <c r="B25" s="20" t="s">
        <v>33</v>
      </c>
      <c r="C25" s="21">
        <v>340</v>
      </c>
      <c r="D25" s="22">
        <v>13</v>
      </c>
      <c r="E25" s="3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v>10</v>
      </c>
      <c r="U25" s="4"/>
      <c r="V25" s="4"/>
      <c r="W25" s="4"/>
      <c r="X25" s="4"/>
      <c r="Y25" s="4"/>
      <c r="Z25" s="4"/>
      <c r="AA25" s="4"/>
      <c r="AB25" s="4"/>
      <c r="AC25" s="4"/>
      <c r="AD25" s="31">
        <f t="shared" si="2"/>
        <v>10</v>
      </c>
      <c r="AE25" s="74">
        <v>5066807.0421333332</v>
      </c>
      <c r="AF25" s="74">
        <f t="shared" si="0"/>
        <v>50668070.421333328</v>
      </c>
      <c r="AG25" s="74">
        <f t="shared" si="1"/>
        <v>608016845.05599999</v>
      </c>
    </row>
    <row r="26" spans="1:33" ht="51" x14ac:dyDescent="0.3">
      <c r="A26" s="102"/>
      <c r="B26" s="20" t="s">
        <v>92</v>
      </c>
      <c r="C26" s="21">
        <v>314</v>
      </c>
      <c r="D26" s="22">
        <v>15</v>
      </c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</v>
      </c>
      <c r="U26" s="4"/>
      <c r="V26" s="4">
        <v>2</v>
      </c>
      <c r="W26" s="4"/>
      <c r="X26" s="4"/>
      <c r="Y26" s="4"/>
      <c r="Z26" s="4"/>
      <c r="AA26" s="4">
        <v>2</v>
      </c>
      <c r="AB26" s="4"/>
      <c r="AC26" s="4"/>
      <c r="AD26" s="31">
        <f t="shared" si="2"/>
        <v>5</v>
      </c>
      <c r="AE26" s="74">
        <v>5488857.1250666669</v>
      </c>
      <c r="AF26" s="74">
        <f t="shared" si="0"/>
        <v>27444285.625333335</v>
      </c>
      <c r="AG26" s="74">
        <f t="shared" si="1"/>
        <v>329331427.50400001</v>
      </c>
    </row>
    <row r="27" spans="1:33" ht="20.399999999999999" x14ac:dyDescent="0.3">
      <c r="A27" s="103" t="s">
        <v>5</v>
      </c>
      <c r="B27" s="23" t="s">
        <v>6</v>
      </c>
      <c r="C27" s="24">
        <v>425</v>
      </c>
      <c r="D27" s="24">
        <v>26</v>
      </c>
      <c r="E27" s="40">
        <v>1</v>
      </c>
      <c r="F27" s="5"/>
      <c r="G27" s="5"/>
      <c r="H27" s="5"/>
      <c r="I27" s="5"/>
      <c r="J27" s="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v>1</v>
      </c>
      <c r="AA27" s="5"/>
      <c r="AB27" s="5"/>
      <c r="AC27" s="5"/>
      <c r="AD27" s="31">
        <f t="shared" si="2"/>
        <v>2</v>
      </c>
      <c r="AE27" s="74">
        <v>6770542.8941333331</v>
      </c>
      <c r="AF27" s="74">
        <f t="shared" si="0"/>
        <v>13541085.788266666</v>
      </c>
      <c r="AG27" s="74">
        <f t="shared" si="1"/>
        <v>162493029.45919999</v>
      </c>
    </row>
    <row r="28" spans="1:33" ht="20.399999999999999" x14ac:dyDescent="0.3">
      <c r="A28" s="103"/>
      <c r="B28" s="23" t="s">
        <v>6</v>
      </c>
      <c r="C28" s="24">
        <v>425</v>
      </c>
      <c r="D28" s="24">
        <v>23</v>
      </c>
      <c r="E28" s="40"/>
      <c r="F28" s="5"/>
      <c r="G28" s="5"/>
      <c r="H28" s="5"/>
      <c r="I28" s="5"/>
      <c r="J28" s="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1">
        <f t="shared" si="2"/>
        <v>0</v>
      </c>
      <c r="AE28" s="74">
        <v>5488857.1250666669</v>
      </c>
      <c r="AF28" s="74">
        <f t="shared" si="0"/>
        <v>0</v>
      </c>
      <c r="AG28" s="74">
        <f t="shared" si="1"/>
        <v>0</v>
      </c>
    </row>
    <row r="29" spans="1:33" ht="20.399999999999999" x14ac:dyDescent="0.3">
      <c r="A29" s="103"/>
      <c r="B29" s="23" t="s">
        <v>7</v>
      </c>
      <c r="C29" s="24">
        <v>407</v>
      </c>
      <c r="D29" s="24">
        <v>26</v>
      </c>
      <c r="E29" s="40"/>
      <c r="F29" s="5"/>
      <c r="G29" s="5"/>
      <c r="H29" s="5"/>
      <c r="I29" s="5"/>
      <c r="J29" s="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31">
        <f t="shared" si="2"/>
        <v>0</v>
      </c>
      <c r="AE29" s="74">
        <v>6770542.8941333331</v>
      </c>
      <c r="AF29" s="74">
        <f t="shared" si="0"/>
        <v>0</v>
      </c>
      <c r="AG29" s="74">
        <f t="shared" si="1"/>
        <v>0</v>
      </c>
    </row>
    <row r="30" spans="1:33" ht="20.399999999999999" x14ac:dyDescent="0.3">
      <c r="A30" s="103"/>
      <c r="B30" s="23" t="s">
        <v>7</v>
      </c>
      <c r="C30" s="24">
        <v>407</v>
      </c>
      <c r="D30" s="24">
        <v>25</v>
      </c>
      <c r="E30" s="40"/>
      <c r="F30" s="5"/>
      <c r="G30" s="5"/>
      <c r="H30" s="5"/>
      <c r="I30" s="5">
        <v>6</v>
      </c>
      <c r="J30" s="8">
        <v>2</v>
      </c>
      <c r="K30" s="5"/>
      <c r="L30" s="5"/>
      <c r="M30" s="5"/>
      <c r="N30" s="5"/>
      <c r="O30" s="5"/>
      <c r="P30" s="5"/>
      <c r="Q30" s="5">
        <v>1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1">
        <f t="shared" si="2"/>
        <v>9</v>
      </c>
      <c r="AE30" s="74">
        <v>6639869.7512000008</v>
      </c>
      <c r="AF30" s="74">
        <f t="shared" si="0"/>
        <v>59758827.760800004</v>
      </c>
      <c r="AG30" s="74">
        <f t="shared" si="1"/>
        <v>717105933.12960005</v>
      </c>
    </row>
    <row r="31" spans="1:33" ht="20.399999999999999" x14ac:dyDescent="0.3">
      <c r="A31" s="103"/>
      <c r="B31" s="23" t="s">
        <v>7</v>
      </c>
      <c r="C31" s="24">
        <v>407</v>
      </c>
      <c r="D31" s="24">
        <v>24</v>
      </c>
      <c r="E31" s="40"/>
      <c r="F31" s="5"/>
      <c r="G31" s="5"/>
      <c r="H31" s="5"/>
      <c r="I31" s="5"/>
      <c r="J31" s="8"/>
      <c r="K31" s="5"/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31">
        <f t="shared" si="2"/>
        <v>1</v>
      </c>
      <c r="AE31" s="74">
        <v>5986763.7512000008</v>
      </c>
      <c r="AF31" s="74">
        <f t="shared" si="0"/>
        <v>5986763.7512000008</v>
      </c>
      <c r="AG31" s="74">
        <f t="shared" si="1"/>
        <v>71841165.014400005</v>
      </c>
    </row>
    <row r="32" spans="1:33" ht="20.399999999999999" x14ac:dyDescent="0.3">
      <c r="A32" s="103"/>
      <c r="B32" s="23" t="s">
        <v>7</v>
      </c>
      <c r="C32" s="24">
        <v>407</v>
      </c>
      <c r="D32" s="24">
        <v>23</v>
      </c>
      <c r="E32" s="40"/>
      <c r="F32" s="5">
        <v>1</v>
      </c>
      <c r="G32" s="5">
        <v>1</v>
      </c>
      <c r="H32" s="5">
        <v>1</v>
      </c>
      <c r="I32" s="5"/>
      <c r="J32" s="8"/>
      <c r="K32" s="5"/>
      <c r="L32" s="5">
        <v>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1">
        <f t="shared" si="2"/>
        <v>4</v>
      </c>
      <c r="AE32" s="74">
        <v>5488857.1250666669</v>
      </c>
      <c r="AF32" s="74">
        <f t="shared" si="0"/>
        <v>21955428.500266667</v>
      </c>
      <c r="AG32" s="74">
        <f t="shared" si="1"/>
        <v>263465142.00319999</v>
      </c>
    </row>
    <row r="33" spans="1:33" ht="20.399999999999999" x14ac:dyDescent="0.3">
      <c r="A33" s="103"/>
      <c r="B33" s="23" t="s">
        <v>7</v>
      </c>
      <c r="C33" s="24">
        <v>407</v>
      </c>
      <c r="D33" s="24">
        <v>22</v>
      </c>
      <c r="E33" s="40"/>
      <c r="F33" s="5"/>
      <c r="G33" s="5"/>
      <c r="H33" s="5"/>
      <c r="I33" s="5"/>
      <c r="J33" s="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31">
        <f t="shared" si="2"/>
        <v>0</v>
      </c>
      <c r="AE33" s="74">
        <v>4684364.9736000001</v>
      </c>
      <c r="AF33" s="74">
        <f t="shared" si="0"/>
        <v>0</v>
      </c>
      <c r="AG33" s="74">
        <f t="shared" si="1"/>
        <v>0</v>
      </c>
    </row>
    <row r="34" spans="1:33" ht="20.399999999999999" x14ac:dyDescent="0.3">
      <c r="A34" s="103"/>
      <c r="B34" s="23" t="s">
        <v>7</v>
      </c>
      <c r="C34" s="24">
        <v>407</v>
      </c>
      <c r="D34" s="24">
        <v>21</v>
      </c>
      <c r="E34" s="40"/>
      <c r="F34" s="5"/>
      <c r="G34" s="5"/>
      <c r="H34" s="5"/>
      <c r="I34" s="5">
        <v>6</v>
      </c>
      <c r="J34" s="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1">
        <f t="shared" si="2"/>
        <v>6</v>
      </c>
      <c r="AE34" s="74">
        <v>4684364.9736000001</v>
      </c>
      <c r="AF34" s="74">
        <f t="shared" si="0"/>
        <v>28106189.841600001</v>
      </c>
      <c r="AG34" s="74">
        <f t="shared" si="1"/>
        <v>337274278.09920001</v>
      </c>
    </row>
    <row r="35" spans="1:33" ht="20.399999999999999" x14ac:dyDescent="0.3">
      <c r="A35" s="103"/>
      <c r="B35" s="23" t="s">
        <v>7</v>
      </c>
      <c r="C35" s="24">
        <v>407</v>
      </c>
      <c r="D35" s="24">
        <v>20</v>
      </c>
      <c r="E35" s="40"/>
      <c r="F35" s="5"/>
      <c r="G35" s="5"/>
      <c r="H35" s="5"/>
      <c r="I35" s="5"/>
      <c r="J35" s="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31">
        <f t="shared" si="2"/>
        <v>0</v>
      </c>
      <c r="AE35" s="74">
        <v>4359724.695733333</v>
      </c>
      <c r="AF35" s="74">
        <f t="shared" si="0"/>
        <v>0</v>
      </c>
      <c r="AG35" s="74">
        <f t="shared" si="1"/>
        <v>0</v>
      </c>
    </row>
    <row r="36" spans="1:33" ht="20.399999999999999" x14ac:dyDescent="0.3">
      <c r="A36" s="103"/>
      <c r="B36" s="23" t="s">
        <v>7</v>
      </c>
      <c r="C36" s="24">
        <v>407</v>
      </c>
      <c r="D36" s="24">
        <v>19</v>
      </c>
      <c r="E36" s="40"/>
      <c r="F36" s="5"/>
      <c r="G36" s="5"/>
      <c r="H36" s="5"/>
      <c r="I36" s="5"/>
      <c r="J36" s="8"/>
      <c r="K36" s="5"/>
      <c r="L36" s="5"/>
      <c r="M36" s="5"/>
      <c r="N36" s="5">
        <v>2</v>
      </c>
      <c r="O36" s="5"/>
      <c r="P36" s="5"/>
      <c r="Q36" s="5"/>
      <c r="R36" s="5"/>
      <c r="S36" s="5">
        <v>3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31">
        <f t="shared" si="2"/>
        <v>5</v>
      </c>
      <c r="AE36" s="74">
        <v>4359724.695733333</v>
      </c>
      <c r="AF36" s="74">
        <f t="shared" si="0"/>
        <v>21798623.478666663</v>
      </c>
      <c r="AG36" s="74">
        <f t="shared" si="1"/>
        <v>261583481.74399996</v>
      </c>
    </row>
    <row r="37" spans="1:33" ht="20.399999999999999" x14ac:dyDescent="0.3">
      <c r="A37" s="103"/>
      <c r="B37" s="23" t="s">
        <v>7</v>
      </c>
      <c r="C37" s="24">
        <v>407</v>
      </c>
      <c r="D37" s="24">
        <v>18</v>
      </c>
      <c r="E37" s="40"/>
      <c r="F37" s="5"/>
      <c r="G37" s="5"/>
      <c r="H37" s="5"/>
      <c r="I37" s="5"/>
      <c r="J37" s="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31">
        <f t="shared" si="2"/>
        <v>0</v>
      </c>
      <c r="AE37" s="74">
        <v>4382551.8501333334</v>
      </c>
      <c r="AF37" s="74">
        <f t="shared" si="0"/>
        <v>0</v>
      </c>
      <c r="AG37" s="74">
        <f t="shared" si="1"/>
        <v>0</v>
      </c>
    </row>
    <row r="38" spans="1:33" ht="20.399999999999999" x14ac:dyDescent="0.3">
      <c r="A38" s="103"/>
      <c r="B38" s="23" t="s">
        <v>7</v>
      </c>
      <c r="C38" s="24">
        <v>407</v>
      </c>
      <c r="D38" s="24">
        <v>17</v>
      </c>
      <c r="E38" s="40"/>
      <c r="F38" s="5"/>
      <c r="G38" s="5"/>
      <c r="H38" s="5"/>
      <c r="I38" s="5"/>
      <c r="J38" s="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1">
        <f t="shared" si="2"/>
        <v>0</v>
      </c>
      <c r="AE38" s="74">
        <v>4382551.8501333334</v>
      </c>
      <c r="AF38" s="74">
        <f t="shared" si="0"/>
        <v>0</v>
      </c>
      <c r="AG38" s="74">
        <f t="shared" si="1"/>
        <v>0</v>
      </c>
    </row>
    <row r="39" spans="1:33" ht="20.399999999999999" x14ac:dyDescent="0.3">
      <c r="A39" s="103"/>
      <c r="B39" s="23" t="s">
        <v>7</v>
      </c>
      <c r="C39" s="24">
        <v>407</v>
      </c>
      <c r="D39" s="24">
        <v>16</v>
      </c>
      <c r="E39" s="40"/>
      <c r="F39" s="5"/>
      <c r="G39" s="5"/>
      <c r="H39" s="5"/>
      <c r="I39" s="5"/>
      <c r="J39" s="8"/>
      <c r="K39" s="5"/>
      <c r="L39" s="5"/>
      <c r="M39" s="5"/>
      <c r="N39" s="5"/>
      <c r="O39" s="5"/>
      <c r="P39" s="5">
        <v>1</v>
      </c>
      <c r="Q39" s="5"/>
      <c r="R39" s="5"/>
      <c r="S39" s="5"/>
      <c r="T39" s="5"/>
      <c r="U39" s="5"/>
      <c r="V39" s="5">
        <v>1</v>
      </c>
      <c r="W39" s="5">
        <v>1</v>
      </c>
      <c r="X39" s="5"/>
      <c r="Y39" s="5"/>
      <c r="Z39" s="5">
        <v>2</v>
      </c>
      <c r="AA39" s="5"/>
      <c r="AB39" s="5">
        <v>1</v>
      </c>
      <c r="AC39" s="5">
        <v>1</v>
      </c>
      <c r="AD39" s="31">
        <f t="shared" si="2"/>
        <v>7</v>
      </c>
      <c r="AE39" s="74">
        <v>4296780.3176000006</v>
      </c>
      <c r="AF39" s="74">
        <f t="shared" si="0"/>
        <v>30077462.223200005</v>
      </c>
      <c r="AG39" s="74">
        <f t="shared" si="1"/>
        <v>360929546.67840004</v>
      </c>
    </row>
    <row r="40" spans="1:33" ht="20.399999999999999" x14ac:dyDescent="0.3">
      <c r="A40" s="103"/>
      <c r="B40" s="23" t="s">
        <v>7</v>
      </c>
      <c r="C40" s="24">
        <v>407</v>
      </c>
      <c r="D40" s="24">
        <v>12</v>
      </c>
      <c r="E40" s="40"/>
      <c r="F40" s="5"/>
      <c r="G40" s="5"/>
      <c r="H40" s="5"/>
      <c r="I40" s="5">
        <v>25</v>
      </c>
      <c r="J40" s="8"/>
      <c r="K40" s="5"/>
      <c r="L40" s="5"/>
      <c r="M40" s="5"/>
      <c r="N40" s="5"/>
      <c r="O40" s="5"/>
      <c r="P40" s="5"/>
      <c r="Q40" s="5">
        <v>2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1">
        <f t="shared" si="2"/>
        <v>27</v>
      </c>
      <c r="AE40" s="74">
        <v>3810256.8325333335</v>
      </c>
      <c r="AF40" s="74">
        <f t="shared" si="0"/>
        <v>102876934.47840001</v>
      </c>
      <c r="AG40" s="74">
        <f t="shared" si="1"/>
        <v>1234523213.7408001</v>
      </c>
    </row>
    <row r="41" spans="1:33" ht="20.399999999999999" x14ac:dyDescent="0.3">
      <c r="A41" s="103"/>
      <c r="B41" s="23" t="s">
        <v>49</v>
      </c>
      <c r="C41" s="24">
        <v>411</v>
      </c>
      <c r="D41" s="24">
        <v>25</v>
      </c>
      <c r="E41" s="40"/>
      <c r="F41" s="5"/>
      <c r="G41" s="5"/>
      <c r="H41" s="5"/>
      <c r="I41" s="5"/>
      <c r="J41" s="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</v>
      </c>
      <c r="AB41" s="5"/>
      <c r="AC41" s="5"/>
      <c r="AD41" s="31">
        <f t="shared" si="2"/>
        <v>2</v>
      </c>
      <c r="AE41" s="74">
        <v>6639869.7512000008</v>
      </c>
      <c r="AF41" s="74">
        <f t="shared" si="0"/>
        <v>13279739.502400002</v>
      </c>
      <c r="AG41" s="74">
        <f t="shared" si="1"/>
        <v>159356874.02880001</v>
      </c>
    </row>
    <row r="42" spans="1:33" ht="20.399999999999999" x14ac:dyDescent="0.3">
      <c r="A42" s="103"/>
      <c r="B42" s="23" t="s">
        <v>50</v>
      </c>
      <c r="C42" s="24">
        <v>419</v>
      </c>
      <c r="D42" s="24">
        <v>23</v>
      </c>
      <c r="E42" s="40"/>
      <c r="F42" s="5"/>
      <c r="G42" s="5"/>
      <c r="H42" s="5"/>
      <c r="I42" s="5"/>
      <c r="J42" s="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</v>
      </c>
      <c r="AB42" s="5"/>
      <c r="AC42" s="5"/>
      <c r="AD42" s="31">
        <f t="shared" si="2"/>
        <v>2</v>
      </c>
      <c r="AE42" s="74">
        <v>4684364.9736000001</v>
      </c>
      <c r="AF42" s="74">
        <f t="shared" si="0"/>
        <v>9368729.9472000003</v>
      </c>
      <c r="AG42" s="74">
        <f t="shared" si="1"/>
        <v>112424759.3664</v>
      </c>
    </row>
    <row r="43" spans="1:33" ht="20.399999999999999" x14ac:dyDescent="0.3">
      <c r="A43" s="103"/>
      <c r="B43" s="23" t="s">
        <v>48</v>
      </c>
      <c r="C43" s="24">
        <v>418</v>
      </c>
      <c r="D43" s="24">
        <v>21</v>
      </c>
      <c r="E43" s="40"/>
      <c r="F43" s="5"/>
      <c r="G43" s="5"/>
      <c r="H43" s="5"/>
      <c r="I43" s="5"/>
      <c r="J43" s="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</v>
      </c>
      <c r="AB43" s="5"/>
      <c r="AC43" s="5"/>
      <c r="AD43" s="31">
        <f t="shared" si="2"/>
        <v>3</v>
      </c>
      <c r="AE43" s="74">
        <v>5488857.1250666669</v>
      </c>
      <c r="AF43" s="74">
        <f t="shared" si="0"/>
        <v>16466571.3752</v>
      </c>
      <c r="AG43" s="74">
        <f t="shared" si="1"/>
        <v>197598856.50239998</v>
      </c>
    </row>
    <row r="44" spans="1:33" ht="20.399999999999999" x14ac:dyDescent="0.3">
      <c r="A44" s="103"/>
      <c r="B44" s="23" t="s">
        <v>47</v>
      </c>
      <c r="C44" s="24">
        <v>417</v>
      </c>
      <c r="D44" s="24">
        <v>19</v>
      </c>
      <c r="E44" s="40"/>
      <c r="F44" s="5"/>
      <c r="G44" s="5"/>
      <c r="H44" s="5"/>
      <c r="I44" s="5"/>
      <c r="J44" s="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</v>
      </c>
      <c r="AB44" s="5"/>
      <c r="AC44" s="5"/>
      <c r="AD44" s="31">
        <f t="shared" si="2"/>
        <v>8</v>
      </c>
      <c r="AE44" s="74">
        <v>4359724.695733333</v>
      </c>
      <c r="AF44" s="74">
        <f t="shared" si="0"/>
        <v>34877797.565866664</v>
      </c>
      <c r="AG44" s="74">
        <f t="shared" si="1"/>
        <v>418533570.79039997</v>
      </c>
    </row>
    <row r="45" spans="1:33" ht="20.399999999999999" x14ac:dyDescent="0.3">
      <c r="A45" s="103"/>
      <c r="B45" s="23" t="s">
        <v>52</v>
      </c>
      <c r="C45" s="24">
        <v>485</v>
      </c>
      <c r="D45" s="24">
        <v>16</v>
      </c>
      <c r="E45" s="40"/>
      <c r="F45" s="5"/>
      <c r="G45" s="5"/>
      <c r="H45" s="5"/>
      <c r="I45" s="5"/>
      <c r="J45" s="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18</v>
      </c>
      <c r="AB45" s="5"/>
      <c r="AC45" s="5"/>
      <c r="AD45" s="31">
        <f t="shared" si="2"/>
        <v>18</v>
      </c>
      <c r="AE45" s="74">
        <v>4296780.3176000006</v>
      </c>
      <c r="AF45" s="74">
        <f t="shared" si="0"/>
        <v>77342045.716800004</v>
      </c>
      <c r="AG45" s="74">
        <f t="shared" si="1"/>
        <v>928104548.60160005</v>
      </c>
    </row>
    <row r="46" spans="1:33" x14ac:dyDescent="0.3">
      <c r="A46" s="103"/>
      <c r="B46" s="23" t="s">
        <v>8</v>
      </c>
      <c r="C46" s="24">
        <v>472</v>
      </c>
      <c r="D46" s="24">
        <v>17</v>
      </c>
      <c r="E46" s="40"/>
      <c r="F46" s="5"/>
      <c r="G46" s="5">
        <v>1</v>
      </c>
      <c r="H46" s="5"/>
      <c r="I46" s="5"/>
      <c r="J46" s="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2"/>
      <c r="AA46" s="5"/>
      <c r="AB46" s="5"/>
      <c r="AC46" s="5"/>
      <c r="AD46" s="31">
        <f t="shared" si="2"/>
        <v>1</v>
      </c>
      <c r="AE46" s="74">
        <v>4382551.8501333334</v>
      </c>
      <c r="AF46" s="74">
        <f t="shared" si="0"/>
        <v>4382551.8501333334</v>
      </c>
      <c r="AG46" s="74">
        <f t="shared" si="1"/>
        <v>52590622.2016</v>
      </c>
    </row>
    <row r="47" spans="1:33" x14ac:dyDescent="0.3">
      <c r="A47" s="103"/>
      <c r="B47" s="23" t="s">
        <v>8</v>
      </c>
      <c r="C47" s="24">
        <v>472</v>
      </c>
      <c r="D47" s="24">
        <v>12</v>
      </c>
      <c r="E47" s="40"/>
      <c r="F47" s="5"/>
      <c r="G47" s="5"/>
      <c r="H47" s="5"/>
      <c r="I47" s="5"/>
      <c r="J47" s="8"/>
      <c r="K47" s="5"/>
      <c r="L47" s="5"/>
      <c r="M47" s="46"/>
      <c r="N47" s="5"/>
      <c r="O47" s="5"/>
      <c r="P47" s="5"/>
      <c r="Q47" s="5"/>
      <c r="R47" s="5"/>
      <c r="S47" s="5"/>
      <c r="T47" s="5"/>
      <c r="U47" s="5"/>
      <c r="V47" s="5">
        <v>6</v>
      </c>
      <c r="W47" s="5">
        <v>4</v>
      </c>
      <c r="X47" s="5"/>
      <c r="Y47" s="5"/>
      <c r="Z47" s="5"/>
      <c r="AA47" s="5">
        <v>1</v>
      </c>
      <c r="AB47" s="5"/>
      <c r="AC47" s="5"/>
      <c r="AD47" s="31">
        <f t="shared" si="2"/>
        <v>11</v>
      </c>
      <c r="AE47" s="74">
        <v>3810256.8325333335</v>
      </c>
      <c r="AF47" s="74">
        <f t="shared" si="0"/>
        <v>41912825.157866672</v>
      </c>
      <c r="AG47" s="74">
        <f t="shared" si="1"/>
        <v>502953901.89440006</v>
      </c>
    </row>
    <row r="48" spans="1:33" ht="30.6" x14ac:dyDescent="0.3">
      <c r="A48" s="103"/>
      <c r="B48" s="23" t="s">
        <v>37</v>
      </c>
      <c r="C48" s="24">
        <v>470</v>
      </c>
      <c r="D48" s="24">
        <v>10</v>
      </c>
      <c r="E48" s="40"/>
      <c r="F48" s="5"/>
      <c r="G48" s="5"/>
      <c r="H48" s="5"/>
      <c r="I48" s="5"/>
      <c r="J48" s="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1">
        <f t="shared" si="2"/>
        <v>0</v>
      </c>
      <c r="AE48" s="74">
        <v>3319889.5704000001</v>
      </c>
      <c r="AF48" s="74">
        <f t="shared" si="0"/>
        <v>0</v>
      </c>
      <c r="AG48" s="74">
        <f t="shared" si="1"/>
        <v>0</v>
      </c>
    </row>
    <row r="49" spans="1:33" x14ac:dyDescent="0.3">
      <c r="A49" s="103"/>
      <c r="B49" s="23" t="s">
        <v>51</v>
      </c>
      <c r="C49" s="24">
        <v>480</v>
      </c>
      <c r="D49" s="24">
        <v>12</v>
      </c>
      <c r="E49" s="40"/>
      <c r="F49" s="5"/>
      <c r="G49" s="5"/>
      <c r="H49" s="5"/>
      <c r="I49" s="5"/>
      <c r="J49" s="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31">
        <f t="shared" si="2"/>
        <v>0</v>
      </c>
      <c r="AE49" s="74">
        <v>3810256.8325333335</v>
      </c>
      <c r="AF49" s="74">
        <f t="shared" si="0"/>
        <v>0</v>
      </c>
      <c r="AG49" s="74">
        <f t="shared" si="1"/>
        <v>0</v>
      </c>
    </row>
    <row r="50" spans="1:33" x14ac:dyDescent="0.3">
      <c r="A50" s="103"/>
      <c r="B50" s="23" t="s">
        <v>51</v>
      </c>
      <c r="C50" s="24">
        <v>480</v>
      </c>
      <c r="D50" s="24">
        <v>16</v>
      </c>
      <c r="E50" s="40"/>
      <c r="F50" s="5"/>
      <c r="G50" s="5"/>
      <c r="H50" s="5"/>
      <c r="I50" s="5"/>
      <c r="J50" s="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</v>
      </c>
      <c r="AB50" s="5"/>
      <c r="AC50" s="5"/>
      <c r="AD50" s="31">
        <f t="shared" si="2"/>
        <v>1</v>
      </c>
      <c r="AE50" s="74">
        <v>4296780.3176000006</v>
      </c>
      <c r="AF50" s="74">
        <f t="shared" si="0"/>
        <v>4296780.3176000006</v>
      </c>
      <c r="AG50" s="74">
        <f t="shared" si="1"/>
        <v>51561363.811200008</v>
      </c>
    </row>
    <row r="51" spans="1:33" x14ac:dyDescent="0.3">
      <c r="A51" s="103"/>
      <c r="B51" s="23" t="s">
        <v>51</v>
      </c>
      <c r="C51" s="24">
        <v>480</v>
      </c>
      <c r="D51" s="24">
        <v>19</v>
      </c>
      <c r="E51" s="40"/>
      <c r="F51" s="5"/>
      <c r="G51" s="5"/>
      <c r="H51" s="5"/>
      <c r="I51" s="5"/>
      <c r="J51" s="8"/>
      <c r="K51" s="5"/>
      <c r="L51" s="5"/>
      <c r="M51" s="5"/>
      <c r="N51" s="5">
        <v>1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31">
        <f t="shared" si="2"/>
        <v>1</v>
      </c>
      <c r="AE51" s="74">
        <v>4359724.695733333</v>
      </c>
      <c r="AF51" s="74">
        <f t="shared" si="0"/>
        <v>4359724.695733333</v>
      </c>
      <c r="AG51" s="74">
        <f t="shared" si="1"/>
        <v>52316696.348799996</v>
      </c>
    </row>
    <row r="52" spans="1:33" ht="20.399999999999999" x14ac:dyDescent="0.3">
      <c r="A52" s="103"/>
      <c r="B52" s="23" t="s">
        <v>6</v>
      </c>
      <c r="C52" s="24">
        <v>485</v>
      </c>
      <c r="D52" s="24">
        <v>23</v>
      </c>
      <c r="E52" s="40"/>
      <c r="F52" s="5"/>
      <c r="G52" s="5"/>
      <c r="H52" s="5"/>
      <c r="I52" s="5"/>
      <c r="J52" s="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1">
        <f t="shared" si="2"/>
        <v>0</v>
      </c>
      <c r="AE52" s="74">
        <v>5488857.1250666669</v>
      </c>
      <c r="AF52" s="74">
        <f t="shared" si="0"/>
        <v>0</v>
      </c>
      <c r="AG52" s="74">
        <f t="shared" si="1"/>
        <v>0</v>
      </c>
    </row>
    <row r="53" spans="1:33" ht="20.399999999999999" x14ac:dyDescent="0.3">
      <c r="A53" s="103"/>
      <c r="B53" s="23" t="s">
        <v>6</v>
      </c>
      <c r="C53" s="24">
        <v>485</v>
      </c>
      <c r="D53" s="24">
        <v>26</v>
      </c>
      <c r="E53" s="40"/>
      <c r="F53" s="5"/>
      <c r="G53" s="5"/>
      <c r="H53" s="5"/>
      <c r="I53" s="5"/>
      <c r="J53" s="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31">
        <f t="shared" si="2"/>
        <v>0</v>
      </c>
      <c r="AE53" s="74">
        <v>6770542.8941333331</v>
      </c>
      <c r="AF53" s="74">
        <f t="shared" si="0"/>
        <v>0</v>
      </c>
      <c r="AG53" s="74">
        <f t="shared" si="1"/>
        <v>0</v>
      </c>
    </row>
    <row r="54" spans="1:33" ht="15.6" x14ac:dyDescent="0.3">
      <c r="A54" s="105" t="s">
        <v>14</v>
      </c>
      <c r="B54" s="105"/>
      <c r="C54" s="105"/>
      <c r="D54" s="105"/>
      <c r="E54" s="43">
        <f>SUM(E5:E53)</f>
        <v>4</v>
      </c>
      <c r="F54" s="25">
        <f>SUM(F8:F46)</f>
        <v>4</v>
      </c>
      <c r="G54" s="25">
        <f>SUM(G4:G53)</f>
        <v>7</v>
      </c>
      <c r="H54" s="25">
        <f>SUM(H8:H46)</f>
        <v>7</v>
      </c>
      <c r="I54" s="25">
        <f>SUM(I4:I53)</f>
        <v>78</v>
      </c>
      <c r="J54" s="25">
        <f>SUM(J4:J53)</f>
        <v>15</v>
      </c>
      <c r="K54" s="25">
        <f t="shared" ref="K54:R54" si="3">SUM(K5:K53)</f>
        <v>2</v>
      </c>
      <c r="L54" s="25">
        <f t="shared" si="3"/>
        <v>8</v>
      </c>
      <c r="M54" s="25">
        <f t="shared" si="3"/>
        <v>11</v>
      </c>
      <c r="N54" s="25">
        <f t="shared" si="3"/>
        <v>12</v>
      </c>
      <c r="O54" s="25">
        <f t="shared" si="3"/>
        <v>7</v>
      </c>
      <c r="P54" s="25">
        <f t="shared" si="3"/>
        <v>6</v>
      </c>
      <c r="Q54" s="25">
        <f t="shared" si="3"/>
        <v>13</v>
      </c>
      <c r="R54" s="25">
        <f t="shared" si="3"/>
        <v>4</v>
      </c>
      <c r="S54" s="25">
        <f>SUM(S5:S46)</f>
        <v>12</v>
      </c>
      <c r="T54" s="25">
        <f>SUM(T5:T46)</f>
        <v>14</v>
      </c>
      <c r="U54" s="25">
        <f>SUM(U5:U53)</f>
        <v>13</v>
      </c>
      <c r="V54" s="25">
        <f>SUM(V5:V47)</f>
        <v>13</v>
      </c>
      <c r="W54" s="25">
        <f>SUM(W5:W47)</f>
        <v>17</v>
      </c>
      <c r="X54" s="25">
        <f>SUM(X5:X48)</f>
        <v>7</v>
      </c>
      <c r="Y54" s="25">
        <f>SUM(Y5:Y48)</f>
        <v>3</v>
      </c>
      <c r="Z54" s="25">
        <f>SUM(Z5:Z48)</f>
        <v>12</v>
      </c>
      <c r="AA54" s="25">
        <f>SUM(AA5:AA53)</f>
        <v>44</v>
      </c>
      <c r="AB54" s="25">
        <f>SUM(AB5:AB53)</f>
        <v>5</v>
      </c>
      <c r="AC54" s="25">
        <f>SUM(AC5:AC53)</f>
        <v>6</v>
      </c>
      <c r="AD54" s="31">
        <f>SUM(E54:AC54)</f>
        <v>324</v>
      </c>
      <c r="AE54" s="81">
        <f>SUM(AE4:AE53)</f>
        <v>362716144.46879989</v>
      </c>
      <c r="AF54" s="82">
        <f>SUM(AF4:AF53)</f>
        <v>2266602857.3565331</v>
      </c>
      <c r="AG54" s="82">
        <f>SUM(AG4:AG53)</f>
        <v>27199234288.278408</v>
      </c>
    </row>
    <row r="55" spans="1:33" x14ac:dyDescent="0.3">
      <c r="AF55" s="93"/>
      <c r="AG55" s="94">
        <f>AF54*12</f>
        <v>27199234288.278397</v>
      </c>
    </row>
    <row r="56" spans="1:33" x14ac:dyDescent="0.3">
      <c r="AG56" s="93"/>
    </row>
  </sheetData>
  <autoFilter ref="A3:BR54"/>
  <mergeCells count="5">
    <mergeCell ref="A4:A5"/>
    <mergeCell ref="A54:D54"/>
    <mergeCell ref="A27:A53"/>
    <mergeCell ref="A18:A26"/>
    <mergeCell ref="A7:A17"/>
  </mergeCells>
  <pageMargins left="0.7" right="0.7" top="0.75" bottom="0.75" header="0.3" footer="0.3"/>
  <pageSetup paperSize="1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opLeftCell="C1" zoomScaleNormal="100" workbookViewId="0">
      <selection activeCell="B1" sqref="B1:I23"/>
    </sheetView>
  </sheetViews>
  <sheetFormatPr baseColWidth="10" defaultRowHeight="14.4" x14ac:dyDescent="0.3"/>
  <cols>
    <col min="2" max="2" width="16" customWidth="1"/>
    <col min="3" max="3" width="18.88671875" customWidth="1"/>
    <col min="7" max="8" width="12.77734375" style="83" bestFit="1" customWidth="1"/>
    <col min="9" max="9" width="13.88671875" style="83" customWidth="1"/>
  </cols>
  <sheetData>
    <row r="1" spans="2:9" ht="36.6" thickBot="1" x14ac:dyDescent="0.35">
      <c r="B1" s="88" t="s">
        <v>58</v>
      </c>
      <c r="C1" s="84" t="s">
        <v>59</v>
      </c>
      <c r="D1" s="84" t="s">
        <v>61</v>
      </c>
      <c r="E1" s="84" t="s">
        <v>62</v>
      </c>
      <c r="F1" s="84" t="s">
        <v>60</v>
      </c>
      <c r="G1" s="89" t="s">
        <v>85</v>
      </c>
      <c r="H1" s="89" t="s">
        <v>86</v>
      </c>
      <c r="I1" s="89" t="s">
        <v>87</v>
      </c>
    </row>
    <row r="2" spans="2:9" ht="15.6" thickTop="1" thickBot="1" x14ac:dyDescent="0.35">
      <c r="B2" s="47" t="s">
        <v>63</v>
      </c>
      <c r="C2" s="48" t="s">
        <v>64</v>
      </c>
      <c r="D2" s="48">
        <v>9</v>
      </c>
      <c r="E2" s="48">
        <v>22</v>
      </c>
      <c r="F2" s="48">
        <v>1</v>
      </c>
      <c r="G2" s="85">
        <v>21093334.691199999</v>
      </c>
      <c r="H2" s="85">
        <f>+F2*G2</f>
        <v>21093334.691199999</v>
      </c>
      <c r="I2" s="85">
        <f>+H2*12</f>
        <v>253120016.29439998</v>
      </c>
    </row>
    <row r="3" spans="2:9" ht="34.799999999999997" thickBot="1" x14ac:dyDescent="0.35">
      <c r="B3" s="49" t="s">
        <v>63</v>
      </c>
      <c r="C3" s="50" t="s">
        <v>65</v>
      </c>
      <c r="D3" s="50">
        <v>9</v>
      </c>
      <c r="E3" s="50">
        <v>20</v>
      </c>
      <c r="F3" s="50">
        <v>1</v>
      </c>
      <c r="G3" s="86">
        <v>21093334.691199999</v>
      </c>
      <c r="H3" s="86">
        <f>+G3*F3</f>
        <v>21093334.691199999</v>
      </c>
      <c r="I3" s="86">
        <f>+H3*12</f>
        <v>253120016.29439998</v>
      </c>
    </row>
    <row r="4" spans="2:9" ht="15" thickBot="1" x14ac:dyDescent="0.35">
      <c r="B4" s="47" t="s">
        <v>63</v>
      </c>
      <c r="C4" s="48" t="s">
        <v>66</v>
      </c>
      <c r="D4" s="48">
        <v>9</v>
      </c>
      <c r="E4" s="48">
        <v>20</v>
      </c>
      <c r="F4" s="48">
        <v>1</v>
      </c>
      <c r="G4" s="85">
        <v>21093334.691199999</v>
      </c>
      <c r="H4" s="85">
        <f t="shared" ref="H4:H22" si="0">+G4*F4</f>
        <v>21093334.691199999</v>
      </c>
      <c r="I4" s="85">
        <f t="shared" ref="I4:I22" si="1">+H4*12</f>
        <v>253120016.29439998</v>
      </c>
    </row>
    <row r="5" spans="2:9" ht="15" thickBot="1" x14ac:dyDescent="0.35">
      <c r="B5" s="49" t="s">
        <v>63</v>
      </c>
      <c r="C5" s="50" t="s">
        <v>67</v>
      </c>
      <c r="D5" s="50">
        <v>9</v>
      </c>
      <c r="E5" s="50">
        <v>20</v>
      </c>
      <c r="F5" s="50">
        <v>1</v>
      </c>
      <c r="G5" s="86">
        <v>21093334.691199999</v>
      </c>
      <c r="H5" s="86">
        <f t="shared" si="0"/>
        <v>21093334.691199999</v>
      </c>
      <c r="I5" s="86">
        <f t="shared" si="1"/>
        <v>253120016.29439998</v>
      </c>
    </row>
    <row r="6" spans="2:9" ht="23.4" thickBot="1" x14ac:dyDescent="0.35">
      <c r="B6" s="47" t="s">
        <v>68</v>
      </c>
      <c r="C6" s="48" t="s">
        <v>69</v>
      </c>
      <c r="D6" s="48">
        <v>115</v>
      </c>
      <c r="E6" s="48">
        <v>14</v>
      </c>
      <c r="F6" s="48">
        <v>1</v>
      </c>
      <c r="G6" s="85">
        <v>20948482.655199997</v>
      </c>
      <c r="H6" s="85">
        <f t="shared" si="0"/>
        <v>20948482.655199997</v>
      </c>
      <c r="I6" s="85">
        <f t="shared" si="1"/>
        <v>251381791.86239997</v>
      </c>
    </row>
    <row r="7" spans="2:9" ht="23.4" thickBot="1" x14ac:dyDescent="0.35">
      <c r="B7" s="49" t="s">
        <v>68</v>
      </c>
      <c r="C7" s="50" t="s">
        <v>70</v>
      </c>
      <c r="D7" s="50">
        <v>115</v>
      </c>
      <c r="E7" s="50">
        <v>14</v>
      </c>
      <c r="F7" s="50">
        <v>1</v>
      </c>
      <c r="G7" s="86">
        <v>20948482.655199997</v>
      </c>
      <c r="H7" s="86">
        <f t="shared" si="0"/>
        <v>20948482.655199997</v>
      </c>
      <c r="I7" s="86">
        <f t="shared" si="1"/>
        <v>251381791.86239997</v>
      </c>
    </row>
    <row r="8" spans="2:9" ht="46.2" thickBot="1" x14ac:dyDescent="0.35">
      <c r="B8" s="47" t="s">
        <v>68</v>
      </c>
      <c r="C8" s="48" t="s">
        <v>71</v>
      </c>
      <c r="D8" s="48">
        <v>115</v>
      </c>
      <c r="E8" s="48">
        <v>14</v>
      </c>
      <c r="F8" s="48">
        <v>1</v>
      </c>
      <c r="G8" s="85">
        <v>20948482.655199997</v>
      </c>
      <c r="H8" s="85">
        <f t="shared" si="0"/>
        <v>20948482.655199997</v>
      </c>
      <c r="I8" s="85">
        <f t="shared" si="1"/>
        <v>251381791.86239997</v>
      </c>
    </row>
    <row r="9" spans="2:9" ht="23.4" thickBot="1" x14ac:dyDescent="0.35">
      <c r="B9" s="49" t="s">
        <v>72</v>
      </c>
      <c r="C9" s="50" t="s">
        <v>73</v>
      </c>
      <c r="D9" s="50">
        <v>222</v>
      </c>
      <c r="E9" s="50">
        <v>15</v>
      </c>
      <c r="F9" s="50">
        <v>2</v>
      </c>
      <c r="G9" s="86">
        <v>10655272.380533332</v>
      </c>
      <c r="H9" s="86">
        <f t="shared" si="0"/>
        <v>21310544.761066664</v>
      </c>
      <c r="I9" s="86">
        <f t="shared" si="1"/>
        <v>255726537.13279998</v>
      </c>
    </row>
    <row r="10" spans="2:9" ht="23.4" thickBot="1" x14ac:dyDescent="0.35">
      <c r="B10" s="47" t="s">
        <v>72</v>
      </c>
      <c r="C10" s="48" t="s">
        <v>73</v>
      </c>
      <c r="D10" s="48">
        <v>222</v>
      </c>
      <c r="E10" s="48">
        <v>15</v>
      </c>
      <c r="F10" s="48">
        <v>1</v>
      </c>
      <c r="G10" s="85">
        <v>10655272.380533332</v>
      </c>
      <c r="H10" s="85">
        <f t="shared" si="0"/>
        <v>10655272.380533332</v>
      </c>
      <c r="I10" s="85">
        <f t="shared" si="1"/>
        <v>127863268.56639999</v>
      </c>
    </row>
    <row r="11" spans="2:9" ht="15" thickBot="1" x14ac:dyDescent="0.35">
      <c r="B11" s="49" t="s">
        <v>72</v>
      </c>
      <c r="C11" s="50" t="s">
        <v>74</v>
      </c>
      <c r="D11" s="50">
        <v>219</v>
      </c>
      <c r="E11" s="50">
        <v>11</v>
      </c>
      <c r="F11" s="50">
        <v>1</v>
      </c>
      <c r="G11" s="86">
        <v>7834632.0767999999</v>
      </c>
      <c r="H11" s="86">
        <f t="shared" si="0"/>
        <v>7834632.0767999999</v>
      </c>
      <c r="I11" s="86">
        <f t="shared" si="1"/>
        <v>94015584.921599999</v>
      </c>
    </row>
    <row r="12" spans="2:9" ht="15" thickBot="1" x14ac:dyDescent="0.35">
      <c r="B12" s="47" t="s">
        <v>72</v>
      </c>
      <c r="C12" s="48" t="s">
        <v>74</v>
      </c>
      <c r="D12" s="48">
        <v>219</v>
      </c>
      <c r="E12" s="48">
        <v>11</v>
      </c>
      <c r="F12" s="48">
        <v>1</v>
      </c>
      <c r="G12" s="85">
        <v>7834632.0767999999</v>
      </c>
      <c r="H12" s="85">
        <f t="shared" si="0"/>
        <v>7834632.0767999999</v>
      </c>
      <c r="I12" s="85">
        <f t="shared" si="1"/>
        <v>94015584.921599999</v>
      </c>
    </row>
    <row r="13" spans="2:9" ht="15" thickBot="1" x14ac:dyDescent="0.35">
      <c r="B13" s="49" t="s">
        <v>72</v>
      </c>
      <c r="C13" s="50" t="s">
        <v>74</v>
      </c>
      <c r="D13" s="50">
        <v>219</v>
      </c>
      <c r="E13" s="50">
        <v>11</v>
      </c>
      <c r="F13" s="50">
        <v>3</v>
      </c>
      <c r="G13" s="86">
        <v>7834632.0767999999</v>
      </c>
      <c r="H13" s="86">
        <f t="shared" si="0"/>
        <v>23503896.2304</v>
      </c>
      <c r="I13" s="86">
        <f t="shared" si="1"/>
        <v>282046754.76480001</v>
      </c>
    </row>
    <row r="14" spans="2:9" ht="15" thickBot="1" x14ac:dyDescent="0.35">
      <c r="B14" s="47" t="s">
        <v>72</v>
      </c>
      <c r="C14" s="48" t="s">
        <v>74</v>
      </c>
      <c r="D14" s="48">
        <v>219</v>
      </c>
      <c r="E14" s="48">
        <v>11</v>
      </c>
      <c r="F14" s="48">
        <v>1</v>
      </c>
      <c r="G14" s="85">
        <v>7834632.0767999999</v>
      </c>
      <c r="H14" s="85">
        <f t="shared" si="0"/>
        <v>7834632.0767999999</v>
      </c>
      <c r="I14" s="85">
        <f t="shared" si="1"/>
        <v>94015584.921599999</v>
      </c>
    </row>
    <row r="15" spans="2:9" ht="15" thickBot="1" x14ac:dyDescent="0.35">
      <c r="B15" s="49" t="s">
        <v>72</v>
      </c>
      <c r="C15" s="50" t="s">
        <v>74</v>
      </c>
      <c r="D15" s="50">
        <v>219</v>
      </c>
      <c r="E15" s="50">
        <v>11</v>
      </c>
      <c r="F15" s="50">
        <v>2</v>
      </c>
      <c r="G15" s="86">
        <v>7834632.0767999999</v>
      </c>
      <c r="H15" s="86">
        <f t="shared" si="0"/>
        <v>15669264.1536</v>
      </c>
      <c r="I15" s="86">
        <f t="shared" si="1"/>
        <v>188031169.8432</v>
      </c>
    </row>
    <row r="16" spans="2:9" ht="15" thickBot="1" x14ac:dyDescent="0.35">
      <c r="B16" s="47" t="s">
        <v>72</v>
      </c>
      <c r="C16" s="48" t="s">
        <v>74</v>
      </c>
      <c r="D16" s="48">
        <v>219</v>
      </c>
      <c r="E16" s="48">
        <v>11</v>
      </c>
      <c r="F16" s="48">
        <v>1</v>
      </c>
      <c r="G16" s="85">
        <v>7834632.0767999999</v>
      </c>
      <c r="H16" s="85">
        <f t="shared" si="0"/>
        <v>7834632.0767999999</v>
      </c>
      <c r="I16" s="85">
        <f t="shared" si="1"/>
        <v>94015584.921599999</v>
      </c>
    </row>
    <row r="17" spans="2:9" ht="22.8" customHeight="1" x14ac:dyDescent="0.3">
      <c r="B17" s="51" t="s">
        <v>72</v>
      </c>
      <c r="C17" s="52" t="s">
        <v>74</v>
      </c>
      <c r="D17" s="52">
        <v>219</v>
      </c>
      <c r="E17" s="52">
        <v>11</v>
      </c>
      <c r="F17" s="52">
        <v>1</v>
      </c>
      <c r="G17" s="90">
        <v>7834632.0767999999</v>
      </c>
      <c r="H17" s="90">
        <f t="shared" si="0"/>
        <v>7834632.0767999999</v>
      </c>
      <c r="I17" s="90">
        <f t="shared" si="1"/>
        <v>94015584.921599999</v>
      </c>
    </row>
    <row r="18" spans="2:9" ht="15" thickBot="1" x14ac:dyDescent="0.35">
      <c r="B18" s="47" t="s">
        <v>75</v>
      </c>
      <c r="C18" s="48" t="s">
        <v>76</v>
      </c>
      <c r="D18" s="48">
        <v>314</v>
      </c>
      <c r="E18" s="48">
        <v>14</v>
      </c>
      <c r="F18" s="48">
        <v>1</v>
      </c>
      <c r="G18" s="85">
        <v>5251869.0194666665</v>
      </c>
      <c r="H18" s="85">
        <f t="shared" si="0"/>
        <v>5251869.0194666665</v>
      </c>
      <c r="I18" s="85">
        <f t="shared" si="1"/>
        <v>63022428.233599998</v>
      </c>
    </row>
    <row r="19" spans="2:9" ht="15" thickBot="1" x14ac:dyDescent="0.35">
      <c r="B19" s="49" t="s">
        <v>75</v>
      </c>
      <c r="C19" s="50" t="s">
        <v>76</v>
      </c>
      <c r="D19" s="50">
        <v>314</v>
      </c>
      <c r="E19" s="50">
        <v>14</v>
      </c>
      <c r="F19" s="50">
        <v>1</v>
      </c>
      <c r="G19" s="86">
        <v>5251869.0194666665</v>
      </c>
      <c r="H19" s="86">
        <f t="shared" si="0"/>
        <v>5251869.0194666665</v>
      </c>
      <c r="I19" s="86">
        <f t="shared" si="1"/>
        <v>63022428.233599998</v>
      </c>
    </row>
    <row r="20" spans="2:9" ht="15" thickBot="1" x14ac:dyDescent="0.35">
      <c r="B20" s="47" t="s">
        <v>75</v>
      </c>
      <c r="C20" s="48" t="s">
        <v>76</v>
      </c>
      <c r="D20" s="48">
        <v>314</v>
      </c>
      <c r="E20" s="48">
        <v>14</v>
      </c>
      <c r="F20" s="48">
        <v>1</v>
      </c>
      <c r="G20" s="85">
        <v>5251869.0194666665</v>
      </c>
      <c r="H20" s="85">
        <f t="shared" si="0"/>
        <v>5251869.0194666665</v>
      </c>
      <c r="I20" s="85">
        <f t="shared" si="1"/>
        <v>63022428.233599998</v>
      </c>
    </row>
    <row r="21" spans="2:9" ht="15" thickBot="1" x14ac:dyDescent="0.35">
      <c r="B21" s="49" t="s">
        <v>75</v>
      </c>
      <c r="C21" s="50" t="s">
        <v>76</v>
      </c>
      <c r="D21" s="50">
        <v>314</v>
      </c>
      <c r="E21" s="50">
        <v>14</v>
      </c>
      <c r="F21" s="50">
        <v>1</v>
      </c>
      <c r="G21" s="86">
        <v>5251869.0194666665</v>
      </c>
      <c r="H21" s="86">
        <f t="shared" si="0"/>
        <v>5251869.0194666665</v>
      </c>
      <c r="I21" s="86">
        <f t="shared" si="1"/>
        <v>63022428.233599998</v>
      </c>
    </row>
    <row r="22" spans="2:9" ht="15" thickBot="1" x14ac:dyDescent="0.35">
      <c r="B22" s="49" t="s">
        <v>77</v>
      </c>
      <c r="C22" s="50" t="s">
        <v>78</v>
      </c>
      <c r="D22" s="50">
        <v>485</v>
      </c>
      <c r="E22" s="50">
        <v>23</v>
      </c>
      <c r="F22" s="50">
        <v>1</v>
      </c>
      <c r="G22" s="86">
        <v>5488857.1250666669</v>
      </c>
      <c r="H22" s="86">
        <f t="shared" si="0"/>
        <v>5488857.1250666669</v>
      </c>
      <c r="I22" s="86">
        <f t="shared" si="1"/>
        <v>65866285.500799999</v>
      </c>
    </row>
    <row r="23" spans="2:9" ht="15" thickBot="1" x14ac:dyDescent="0.35">
      <c r="B23" s="54" t="s">
        <v>79</v>
      </c>
      <c r="C23" s="55"/>
      <c r="D23" s="55"/>
      <c r="E23" s="55"/>
      <c r="F23" s="56">
        <f>SUM(F2:F22)</f>
        <v>25</v>
      </c>
      <c r="G23" s="87">
        <f>SUM(G2:G22)</f>
        <v>249868089.23199993</v>
      </c>
      <c r="H23" s="87">
        <f>SUM(H2:H22)</f>
        <v>284027257.84293324</v>
      </c>
      <c r="I23" s="87">
        <f>SUM(I2:I22)</f>
        <v>3408327094.1152005</v>
      </c>
    </row>
  </sheetData>
  <autoFilter ref="B1:J23"/>
  <pageMargins left="0.7" right="0.7" top="0.75" bottom="0.75" header="0.3" footer="0.3"/>
  <pageSetup paperSize="14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"/>
  <sheetViews>
    <sheetView workbookViewId="0">
      <selection activeCell="C9" sqref="C9"/>
    </sheetView>
  </sheetViews>
  <sheetFormatPr baseColWidth="10" defaultRowHeight="14.4" x14ac:dyDescent="0.3"/>
  <cols>
    <col min="1" max="1" width="5.21875" customWidth="1"/>
    <col min="3" max="3" width="17" bestFit="1" customWidth="1"/>
    <col min="4" max="4" width="12.77734375" style="83" bestFit="1" customWidth="1"/>
    <col min="7" max="8" width="11.88671875" bestFit="1" customWidth="1"/>
    <col min="9" max="9" width="12.77734375" bestFit="1" customWidth="1"/>
  </cols>
  <sheetData>
    <row r="3" spans="2:9" ht="15" thickBot="1" x14ac:dyDescent="0.35"/>
    <row r="4" spans="2:9" ht="36.6" thickBot="1" x14ac:dyDescent="0.35">
      <c r="B4" s="88" t="s">
        <v>58</v>
      </c>
      <c r="C4" s="84" t="s">
        <v>59</v>
      </c>
      <c r="D4" s="84" t="s">
        <v>61</v>
      </c>
      <c r="E4" s="84" t="s">
        <v>62</v>
      </c>
      <c r="F4" s="84" t="s">
        <v>60</v>
      </c>
      <c r="G4" s="89" t="s">
        <v>85</v>
      </c>
      <c r="H4" s="89" t="s">
        <v>86</v>
      </c>
      <c r="I4" s="89" t="s">
        <v>87</v>
      </c>
    </row>
    <row r="5" spans="2:9" ht="15.6" thickTop="1" thickBot="1" x14ac:dyDescent="0.35">
      <c r="B5" s="53" t="s">
        <v>77</v>
      </c>
      <c r="C5" s="92" t="s">
        <v>80</v>
      </c>
      <c r="D5" s="50">
        <v>485</v>
      </c>
      <c r="E5" s="50" t="s">
        <v>91</v>
      </c>
      <c r="F5" s="50">
        <v>1</v>
      </c>
      <c r="G5" s="86">
        <v>3810256.8325333335</v>
      </c>
      <c r="H5" s="86">
        <f>+F5*G5</f>
        <v>3810256.8325333335</v>
      </c>
      <c r="I5" s="86">
        <f>+H5*12</f>
        <v>45723081.990400001</v>
      </c>
    </row>
    <row r="6" spans="2:9" ht="15" thickBot="1" x14ac:dyDescent="0.35">
      <c r="B6" s="53" t="s">
        <v>77</v>
      </c>
      <c r="C6" s="92" t="s">
        <v>89</v>
      </c>
      <c r="D6" s="50">
        <v>475</v>
      </c>
      <c r="E6" s="50">
        <v>16</v>
      </c>
      <c r="F6" s="50">
        <v>4</v>
      </c>
      <c r="G6" s="86">
        <v>4296780.3176000006</v>
      </c>
      <c r="H6" s="86">
        <f>+F6*G6</f>
        <v>17187121.270400003</v>
      </c>
      <c r="I6" s="86">
        <f>+H6*12</f>
        <v>206245455.24480003</v>
      </c>
    </row>
    <row r="7" spans="2:9" ht="15" thickBot="1" x14ac:dyDescent="0.35">
      <c r="B7" s="53" t="s">
        <v>77</v>
      </c>
      <c r="C7" s="92" t="s">
        <v>90</v>
      </c>
      <c r="D7" s="50">
        <v>413</v>
      </c>
      <c r="E7" s="50">
        <v>17</v>
      </c>
      <c r="F7" s="50">
        <v>12</v>
      </c>
      <c r="G7" s="86">
        <v>4382551.8501333334</v>
      </c>
      <c r="H7" s="86">
        <f>+F7*G7</f>
        <v>52590622.2016</v>
      </c>
      <c r="I7" s="86">
        <f>+H7*12</f>
        <v>631087466.41919994</v>
      </c>
    </row>
    <row r="8" spans="2:9" ht="15" thickBot="1" x14ac:dyDescent="0.35">
      <c r="B8" s="53"/>
      <c r="C8" s="50"/>
      <c r="D8" s="50"/>
      <c r="E8" s="50"/>
      <c r="F8" s="50"/>
      <c r="G8" s="91"/>
      <c r="H8" s="91">
        <f>SUM(H5:H7)</f>
        <v>73588000.304533333</v>
      </c>
      <c r="I8" s="91">
        <f>SUM(I5:I7)</f>
        <v>883056003.65439999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COSTO CARGO</vt:lpstr>
      <vt:lpstr>N° DE  CARGOS ACTOS AD</vt:lpstr>
      <vt:lpstr>N° DE  CARGOS SUGERIDOS x estud</vt:lpstr>
      <vt:lpstr>CARGOS INDER ISLAS</vt:lpstr>
      <vt:lpstr>SUPRIMIR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Alcaldia</dc:creator>
  <cp:lastModifiedBy>Alcaldia</cp:lastModifiedBy>
  <dcterms:created xsi:type="dcterms:W3CDTF">2025-12-26T16:47:36Z</dcterms:created>
  <dcterms:modified xsi:type="dcterms:W3CDTF">2026-07-03T00:32:48Z</dcterms:modified>
</cp:coreProperties>
</file>